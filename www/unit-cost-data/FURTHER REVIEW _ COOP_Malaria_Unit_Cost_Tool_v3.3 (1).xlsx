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gmb-malaria-budget-application/www/unit-cost-data/"/>
    </mc:Choice>
  </mc:AlternateContent>
  <xr:revisionPtr revIDLastSave="0" documentId="13_ncr:1_{6A16E4EA-3343-438E-BE91-BB2675FF8434}" xr6:coauthVersionLast="47" xr6:coauthVersionMax="47" xr10:uidLastSave="{00000000-0000-0000-0000-000000000000}"/>
  <bookViews>
    <workbookView xWindow="21990" yWindow="5685" windowWidth="25995" windowHeight="14370" tabRatio="500" firstSheet="1" activeTab="4" xr2:uid="{00000000-000D-0000-FFFF-FFFF00000000}"/>
  </bookViews>
  <sheets>
    <sheet name="⚙ Assumptions" sheetId="1" r:id="rId1"/>
    <sheet name="🗂 Interventions" sheetId="2" r:id="rId2"/>
    <sheet name="📂 Cost Categories" sheetId="3" r:id="rId3"/>
    <sheet name="📊 Summary" sheetId="4" r:id="rId4"/>
    <sheet name="📝 Unit Costs" sheetId="5" r:id="rId5"/>
    <sheet name="🏠 Dashboard" sheetId="6" r:id="rId6"/>
    <sheet name="📉 Cost-per-Person" sheetId="7" r:id="rId7"/>
    <sheet name="✅ Data Quality" sheetId="8" r:id="rId8"/>
    <sheet name="🔍 Cost Breakdown" sheetId="9" r:id="rId9"/>
    <sheet name="📋 Instruction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7" l="1"/>
  <c r="E10" i="7"/>
  <c r="G10" i="7" s="1"/>
  <c r="F9" i="7"/>
  <c r="E9" i="7"/>
  <c r="G9" i="7" s="1"/>
  <c r="F8" i="7"/>
  <c r="F7" i="7"/>
  <c r="E7" i="7"/>
  <c r="G7" i="7" s="1"/>
  <c r="F6" i="7"/>
  <c r="F5" i="7"/>
  <c r="E5" i="7"/>
  <c r="G5" i="7" s="1"/>
  <c r="K78" i="5"/>
  <c r="B78" i="5"/>
  <c r="K77" i="5"/>
  <c r="B77" i="5"/>
  <c r="K76" i="5"/>
  <c r="B76" i="5"/>
  <c r="K75" i="5"/>
  <c r="B75" i="5"/>
  <c r="K74" i="5"/>
  <c r="B74" i="5"/>
  <c r="K73" i="5"/>
  <c r="B73" i="5"/>
  <c r="K71" i="5"/>
  <c r="B71" i="5"/>
  <c r="K70" i="5"/>
  <c r="B70" i="5"/>
  <c r="K69" i="5"/>
  <c r="B69" i="5"/>
  <c r="K68" i="5"/>
  <c r="B68" i="5"/>
  <c r="K67" i="5"/>
  <c r="B67" i="5"/>
  <c r="K66" i="5"/>
  <c r="B66" i="5"/>
  <c r="K65" i="5"/>
  <c r="B65" i="5"/>
  <c r="K64" i="5"/>
  <c r="B64" i="5"/>
  <c r="K63" i="5"/>
  <c r="B63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J11" i="4"/>
  <c r="J10" i="4"/>
  <c r="J9" i="4"/>
  <c r="J8" i="4"/>
  <c r="J7" i="4"/>
  <c r="J6" i="4"/>
  <c r="H10" i="1"/>
  <c r="H9" i="1"/>
  <c r="D8" i="1"/>
  <c r="E8" i="7" s="1"/>
  <c r="G8" i="7" s="1"/>
  <c r="H7" i="1"/>
  <c r="D6" i="1"/>
  <c r="E6" i="7" s="1"/>
  <c r="G6" i="7" s="1"/>
  <c r="F5" i="1"/>
  <c r="H5" i="1" s="1"/>
  <c r="F9" i="4" l="1"/>
  <c r="L41" i="5"/>
  <c r="L15" i="5"/>
  <c r="L68" i="5"/>
  <c r="L47" i="5"/>
  <c r="H11" i="4"/>
  <c r="L53" i="5"/>
  <c r="L64" i="5"/>
  <c r="L74" i="5"/>
  <c r="L59" i="5"/>
  <c r="L70" i="5"/>
  <c r="L77" i="5"/>
  <c r="E7" i="4"/>
  <c r="L17" i="5"/>
  <c r="L24" i="5"/>
  <c r="L30" i="5"/>
  <c r="L45" i="5"/>
  <c r="L43" i="5"/>
  <c r="L49" i="5"/>
  <c r="L55" i="5"/>
  <c r="L61" i="5"/>
  <c r="L66" i="5"/>
  <c r="D11" i="4"/>
  <c r="L13" i="5"/>
  <c r="L26" i="5"/>
  <c r="L32" i="5"/>
  <c r="L39" i="5"/>
  <c r="L57" i="5"/>
  <c r="C7" i="4"/>
  <c r="L20" i="5"/>
  <c r="L75" i="5"/>
  <c r="L9" i="5"/>
  <c r="L46" i="5"/>
  <c r="L21" i="5"/>
  <c r="L28" i="5"/>
  <c r="L35" i="5"/>
  <c r="L31" i="5"/>
  <c r="L60" i="5"/>
  <c r="L78" i="5"/>
  <c r="L11" i="5"/>
  <c r="L16" i="5"/>
  <c r="L37" i="5"/>
  <c r="L42" i="5"/>
  <c r="L69" i="5"/>
  <c r="C10" i="4"/>
  <c r="D10" i="4"/>
  <c r="L7" i="5"/>
  <c r="L12" i="5"/>
  <c r="L38" i="5"/>
  <c r="L65" i="5"/>
  <c r="E10" i="4"/>
  <c r="L22" i="5"/>
  <c r="L48" i="5"/>
  <c r="L52" i="5"/>
  <c r="C8" i="4"/>
  <c r="H10" i="4"/>
  <c r="L8" i="5"/>
  <c r="L33" i="5"/>
  <c r="L63" i="5"/>
  <c r="F8" i="4"/>
  <c r="L18" i="5"/>
  <c r="L44" i="5"/>
  <c r="L71" i="5"/>
  <c r="G8" i="4"/>
  <c r="C11" i="4"/>
  <c r="L29" i="5"/>
  <c r="L58" i="5"/>
  <c r="L76" i="5"/>
  <c r="D6" i="4"/>
  <c r="H8" i="4"/>
  <c r="L14" i="5"/>
  <c r="L40" i="5"/>
  <c r="L67" i="5"/>
  <c r="G9" i="4"/>
  <c r="D7" i="4"/>
  <c r="G10" i="4"/>
  <c r="L27" i="5"/>
  <c r="L56" i="5"/>
  <c r="H7" i="4"/>
  <c r="F6" i="4"/>
  <c r="F11" i="4"/>
  <c r="L19" i="5"/>
  <c r="L25" i="5"/>
  <c r="L51" i="5"/>
  <c r="L54" i="5"/>
  <c r="L73" i="5"/>
  <c r="G6" i="4"/>
  <c r="D9" i="4"/>
  <c r="G11" i="4"/>
  <c r="L10" i="5"/>
  <c r="L36" i="5"/>
  <c r="E6" i="4"/>
  <c r="E9" i="4"/>
  <c r="H6" i="4"/>
  <c r="D8" i="4"/>
  <c r="H9" i="4"/>
  <c r="E8" i="4"/>
  <c r="E11" i="4"/>
  <c r="F6" i="1"/>
  <c r="H6" i="1" s="1"/>
  <c r="F8" i="1"/>
  <c r="H8" i="1" s="1"/>
  <c r="F7" i="4"/>
  <c r="F10" i="4"/>
  <c r="C6" i="4"/>
  <c r="G7" i="4"/>
  <c r="C9" i="4"/>
  <c r="G12" i="4" l="1"/>
  <c r="I10" i="4"/>
  <c r="D9" i="7" s="1"/>
  <c r="I9" i="7" s="1"/>
  <c r="F12" i="4"/>
  <c r="I11" i="4"/>
  <c r="D10" i="7" s="1"/>
  <c r="I10" i="7" s="1"/>
  <c r="D12" i="4"/>
  <c r="I9" i="4"/>
  <c r="D8" i="7" s="1"/>
  <c r="C12" i="4"/>
  <c r="I6" i="4"/>
  <c r="I8" i="4"/>
  <c r="D7" i="7" s="1"/>
  <c r="I7" i="4"/>
  <c r="D6" i="7" s="1"/>
  <c r="H12" i="4"/>
  <c r="E12" i="4"/>
  <c r="H10" i="7" l="1"/>
  <c r="H9" i="7"/>
  <c r="I8" i="7"/>
  <c r="H8" i="7"/>
  <c r="I6" i="7"/>
  <c r="H6" i="7"/>
  <c r="I12" i="4"/>
  <c r="D5" i="7"/>
  <c r="I7" i="7"/>
  <c r="H7" i="7"/>
  <c r="I5" i="7" l="1"/>
  <c r="H5" i="7"/>
</calcChain>
</file>

<file path=xl/sharedStrings.xml><?xml version="1.0" encoding="utf-8"?>
<sst xmlns="http://schemas.openxmlformats.org/spreadsheetml/2006/main" count="1237" uniqueCount="412">
  <si>
    <t>PROGRAMME ASSUMPTIONS &amp; PARAMETERS</t>
  </si>
  <si>
    <t>COVERAGE TARGETS &amp; PROGRAMME SCALE  (by intervention)</t>
  </si>
  <si>
    <t>Code</t>
  </si>
  <si>
    <t>Intervention</t>
  </si>
  <si>
    <t>Target Population
Description</t>
  </si>
  <si>
    <t>Eligible Population
(persons)</t>
  </si>
  <si>
    <t>Target Coverage
(%)</t>
  </si>
  <si>
    <t>Planned Units
(deliveries)</t>
  </si>
  <si>
    <t>Cycles / Doses
per Person</t>
  </si>
  <si>
    <t>Total Delivery
Units</t>
  </si>
  <si>
    <t>Year</t>
  </si>
  <si>
    <t>mii</t>
  </si>
  <si>
    <t>Mass ITN campaigns</t>
  </si>
  <si>
    <t>All household members (1 ITN for every two people)</t>
  </si>
  <si>
    <t>mii_routine</t>
  </si>
  <si>
    <t>Routine ITN distribution</t>
  </si>
  <si>
    <t>Pregnant women attending ANC + children U5</t>
  </si>
  <si>
    <t>irs</t>
  </si>
  <si>
    <t>Indoor Residual Spraying</t>
  </si>
  <si>
    <t>Targeted sprayable structures in the household, in spray areas</t>
  </si>
  <si>
    <t>smc</t>
  </si>
  <si>
    <t>Seasonal Malaria Chemoprevention</t>
  </si>
  <si>
    <t>Children 3–59 months in target zones</t>
  </si>
  <si>
    <t>iptsc</t>
  </si>
  <si>
    <t>Intermittent Preventive Treatment in School-Aged Children</t>
  </si>
  <si>
    <t>School-aged children 5–15 yrs (school enrolment-based)</t>
  </si>
  <si>
    <t>vax</t>
  </si>
  <si>
    <t>Malaria Vaccine (RTS,S / R21)</t>
  </si>
  <si>
    <t>Children 5–17 months (birth cohort)</t>
  </si>
  <si>
    <t>ITN quantification ratio — persons per net (mass campaign):</t>
  </si>
  <si>
    <t>ℹ️  Mass ITN nets = (eligible × coverage) ÷ persons-per-net (WHO standard = 2; use 1.8 to add a procurement buffer). Routine ITN = 1 net per eligible ANC/EPI contact. Rounded up to whole nets.</t>
  </si>
  <si>
    <t>Routine ITN eligible population (% of projected population):</t>
  </si>
  <si>
    <t>ℹ️  Mass ITN eligible = total projected population (all household members). Routine ITN eligible = projected population × the percentage above.</t>
  </si>
  <si>
    <t>SMC target-area population:</t>
  </si>
  <si>
    <t>Children 3–59 months (% of SMC target-area population):</t>
  </si>
  <si>
    <t>ℹ️  SMC eligible children = target-area population × children 3–59m %. Planned units = eligible × coverage. Total delivery units = planned units × cycles/doses per person (4 monthly SMC cycles).</t>
  </si>
  <si>
    <t>MALARIA INTERVENTION REGISTER — 6 CORE INTERVENTIONS</t>
  </si>
  <si>
    <t>Intervention Name</t>
  </si>
  <si>
    <t>Category</t>
  </si>
  <si>
    <t>Delivery Channel</t>
  </si>
  <si>
    <t>Target Population</t>
  </si>
  <si>
    <t>Active</t>
  </si>
  <si>
    <t>Notes / Comments</t>
  </si>
  <si>
    <t>Vector Control</t>
  </si>
  <si>
    <t>Mass campaign</t>
  </si>
  <si>
    <t>Y</t>
  </si>
  <si>
    <t>Routine health system</t>
  </si>
  <si>
    <t>Pregnant women &amp; children U5</t>
  </si>
  <si>
    <t>Chemoprevention</t>
  </si>
  <si>
    <t>Community-based</t>
  </si>
  <si>
    <t>Children 3–59 months</t>
  </si>
  <si>
    <t>School-based</t>
  </si>
  <si>
    <t>School-aged children 5–15 years</t>
  </si>
  <si>
    <t>Children 5–17 months</t>
  </si>
  <si>
    <t>INTERVENTION DESCRIPTIONS &amp; IMPLEMENTATION NOTES</t>
  </si>
  <si>
    <t>Mass distribution of Long-Lasting Insecticidal Nets (LLINs) to all households. Typically conducted every 3 years. Key commodity: PBO or conventional LLIN.</t>
  </si>
  <si>
    <t>Year-round distribution of LLINs through ANC and EPI contacts. Ensures continuous access between mass campaigns.</t>
  </si>
  <si>
    <t>Application of residual insecticide to interior walls of houses. Requires annual spraying. Key inputs: insecticide, spray equipment, trained operators.</t>
  </si>
  <si>
    <t>Monthly preventive treatment with SPAQ for children 3–59 months during high transmission season (typically 3–4 cycles). Highly effective in Sahel.</t>
  </si>
  <si>
    <t>DP (dihydroartemisinin-piperaquine) given to school-aged children (5–15 years) in 2–3 rounds per year, delivered through schools. WHO-recommended since June 2022; shrinks the asymptomatic parasite reservoir and reduces malaria burden in this age group.</t>
  </si>
  <si>
    <t>4-dose schedule of RTS,S/AS01 (Mosquirix) or 3-dose R21/Matrix-M delivered through EPI. Reduces clinical malaria in children by ~36–75%.</t>
  </si>
  <si>
    <t>COST CATEGORY DEFINITIONS</t>
  </si>
  <si>
    <t>Category Name</t>
  </si>
  <si>
    <t>Definition</t>
  </si>
  <si>
    <t>Examples for Malaria Interventions</t>
  </si>
  <si>
    <t>Cost Type</t>
  </si>
  <si>
    <t>Notes</t>
  </si>
  <si>
    <t>PROC</t>
  </si>
  <si>
    <t>Procurement</t>
  </si>
  <si>
    <t>Purchase price of malaria commodities, drugs, diagnostics and equipment</t>
  </si>
  <si>
    <t>LLIN purchase, SPAQ blister pack, RTS,S vaccine vials, insecticide, RDTs</t>
  </si>
  <si>
    <t>Variable (per unit)</t>
  </si>
  <si>
    <t>DIST</t>
  </si>
  <si>
    <t>Distribution / Logistics</t>
  </si>
  <si>
    <t>Transport, storage and cold-chain delivery of commodities from central to point of use</t>
  </si>
  <si>
    <t>Freight, warehouse fees, last-mile vehicle hire, cold-chain maintenance</t>
  </si>
  <si>
    <t>Variable or Fixed</t>
  </si>
  <si>
    <t>OPS</t>
  </si>
  <si>
    <t>Operational</t>
  </si>
  <si>
    <t>Labour and direct field costs for implementing the intervention</t>
  </si>
  <si>
    <t>Spray operator wages, CHW per diem, EPI nurse session time, fuel</t>
  </si>
  <si>
    <t>Variable (per HH/child/woman)</t>
  </si>
  <si>
    <t>SUPP</t>
  </si>
  <si>
    <t>Support / Capacity</t>
  </si>
  <si>
    <t>Indirect support enabling quality programme delivery</t>
  </si>
  <si>
    <t>Training, supervision, technical assistance, capacity building</t>
  </si>
  <si>
    <t>Fixed or Variable</t>
  </si>
  <si>
    <t>M&amp;E</t>
  </si>
  <si>
    <t>Monitoring &amp; Evaluation</t>
  </si>
  <si>
    <t>Data collection, surveys, HMIS review and programme oversight</t>
  </si>
  <si>
    <t>Coverage surveys, HMIS tools, supervision visits</t>
  </si>
  <si>
    <t>Fixed per period</t>
  </si>
  <si>
    <t>COM</t>
  </si>
  <si>
    <t>Communication / BCC</t>
  </si>
  <si>
    <t>Behaviour change communication and community mobilisation activities</t>
  </si>
  <si>
    <t>Radio spots, IEC materials, community mobilisers</t>
  </si>
  <si>
    <t>ADMIN</t>
  </si>
  <si>
    <t>Administration</t>
  </si>
  <si>
    <t>Programme management, administration, banking and overhead</t>
  </si>
  <si>
    <t>Staff salaries (admin), bank fees, audit</t>
  </si>
  <si>
    <t>Fixed</t>
  </si>
  <si>
    <t>OTHER</t>
  </si>
  <si>
    <t>Other</t>
  </si>
  <si>
    <t>Any costs not captured above</t>
  </si>
  <si>
    <t>Contingency, unforeseen costs</t>
  </si>
  <si>
    <t>Variable</t>
  </si>
  <si>
    <t>UNIT COST SUMMARY BY INTERVENTION &amp; COST CATEGORY</t>
  </si>
  <si>
    <t>Auto-calculated from Unit Costs sheet. Set Year filter in C3. Blue = inputs. Black = formulas.</t>
  </si>
  <si>
    <t>Filter Year:</t>
  </si>
  <si>
    <t>Procurement
(USD)</t>
  </si>
  <si>
    <t>Distribution
(USD)</t>
  </si>
  <si>
    <t>Operational
(USD)</t>
  </si>
  <si>
    <t>Support
(USD)</t>
  </si>
  <si>
    <t>M&amp;E
(USD)</t>
  </si>
  <si>
    <t>Other
(USD)</t>
  </si>
  <si>
    <t>TOTAL
(USD)</t>
  </si>
  <si>
    <t>Unit Cost
(Total, USD)</t>
  </si>
  <si>
    <t>GRAND TOTAL</t>
  </si>
  <si>
    <t>UNIT COST DATA ENTRY — 6 CORE MALARIA INTERVENTIONS</t>
  </si>
  <si>
    <t>Blue cells = USER INPUTS   |   Black cells = AUTO-CALCULATED   |   Unit costs are entered directly in USD.   Each row = one input line per intervention × cost category.   Source documentation mandatory.</t>
  </si>
  <si>
    <t>IDENTIFICATION</t>
  </si>
  <si>
    <t>UNIT COST DETAILS</t>
  </si>
  <si>
    <t>SOURCE &amp; NOTES</t>
  </si>
  <si>
    <t>SCALE-UP &amp; TOTALS</t>
  </si>
  <si>
    <t>QUALITY</t>
  </si>
  <si>
    <t>Intervention
Code</t>
  </si>
  <si>
    <t>Intervention
Name</t>
  </si>
  <si>
    <t>Cost
Category</t>
  </si>
  <si>
    <t>Input
Description</t>
  </si>
  <si>
    <t>Unit of
Measure</t>
  </si>
  <si>
    <t>Unit Cost
(USD)</t>
  </si>
  <si>
    <t>Source /
Reference</t>
  </si>
  <si>
    <t>Target
Units</t>
  </si>
  <si>
    <t>Total Cost
(USD)</t>
  </si>
  <si>
    <t>% of Int.
Total</t>
  </si>
  <si>
    <t>Data Quality
Score (1–3)</t>
  </si>
  <si>
    <t>Auto-lookup</t>
  </si>
  <si>
    <t>PROC/DIST/OPS
SUPP/M&amp;E etc.</t>
  </si>
  <si>
    <t>Specific commodity
or activity</t>
  </si>
  <si>
    <t>Ref. year</t>
  </si>
  <si>
    <t>per net / structure
child / dose</t>
  </si>
  <si>
    <t>Enter cost
in USD</t>
  </si>
  <si>
    <t>Study / report
/ programme data</t>
  </si>
  <si>
    <t>Optional context</t>
  </si>
  <si>
    <t>Planned delivery
quantity</t>
  </si>
  <si>
    <t>unit cost ×
target units</t>
  </si>
  <si>
    <t>line ÷
intervention total</t>
  </si>
  <si>
    <t>1=Model 2=Prog.
3=Primary study</t>
  </si>
  <si>
    <t xml:space="preserve">  ▶  MASS ITN CAMPAIGNS  [mii]</t>
  </si>
  <si>
    <t>Standard LLIN – pyrethroid-only, 180×160×150cm, bulk pkg</t>
  </si>
  <si>
    <t>Per net</t>
  </si>
  <si>
    <t>GF PPM Ref. Price 2025 (FOB, bulk)</t>
  </si>
  <si>
    <t>PBO LLIN – pyrethroid-PBO, 180×160×150cm, bulk pkg</t>
  </si>
  <si>
    <t>Dual AI LLIN – CFP (chlorfenapyr+pyrethroid), 180×160×150cm</t>
  </si>
  <si>
    <t>Hanging kit (6 hooks + 1.5m string, bulk)</t>
  </si>
  <si>
    <t>GF PPM incl. in standard kit – estimate</t>
  </si>
  <si>
    <t>International freight &amp; insurance (FOB→CIF)</t>
  </si>
  <si>
    <t>GF PPM freight indicative cost 2025</t>
  </si>
  <si>
    <t>In-country central warehousing &amp; handling</t>
  </si>
  <si>
    <t>Programme logistics data – country average</t>
  </si>
  <si>
    <t>District-level transport &amp; storage</t>
  </si>
  <si>
    <t>Last-mile transport (district → distribution point)</t>
  </si>
  <si>
    <t>PMI/GF programme costing evidence 2024</t>
  </si>
  <si>
    <t>Community mobilisation &amp; household sensitisation</t>
  </si>
  <si>
    <t>PMI programme costing review 2025</t>
  </si>
  <si>
    <t>Distribution point set-up &amp; registration management</t>
  </si>
  <si>
    <t>Distributor per diem &amp; field transport</t>
  </si>
  <si>
    <t>Country programme admin data</t>
  </si>
  <si>
    <t>HMIS data entry &amp; reporting</t>
  </si>
  <si>
    <t>Pre-campaign training of distributors &amp; supervisors</t>
  </si>
  <si>
    <t>Country training cost data</t>
  </si>
  <si>
    <t>Supervision &amp; quality assurance visits</t>
  </si>
  <si>
    <t>Supervision cost estimates</t>
  </si>
  <si>
    <t>Post-campaign coverage survey (LQAS / household survey)</t>
  </si>
  <si>
    <t>Survey costing models</t>
  </si>
  <si>
    <t>Programme monitoring visits &amp; reporting tools</t>
  </si>
  <si>
    <t>Programme admin data</t>
  </si>
  <si>
    <t xml:space="preserve">  ▶  ROUTINE ITN DISTRIBUTION  [mii_routine]</t>
  </si>
  <si>
    <t>Standard LLIN – pyrethroid-only, individual bag (ANC/EPI)</t>
  </si>
  <si>
    <t>GF PPM Ref. Price 2025 (FOB, indiv. bag)</t>
  </si>
  <si>
    <t>PBO LLIN – pyrethroid-PBO, individual bag (ANC/EPI)</t>
  </si>
  <si>
    <t>Central-to-facility supply chain &amp; storage</t>
  </si>
  <si>
    <t>Programme logistics data</t>
  </si>
  <si>
    <t>Facility-level storage &amp; stock management</t>
  </si>
  <si>
    <t>ANC/EPI health worker time (costed share)</t>
  </si>
  <si>
    <t>Time-motion study evidence</t>
  </si>
  <si>
    <t>Register &amp; recording at facility</t>
  </si>
  <si>
    <t>Health worker training on routine LLIN protocols</t>
  </si>
  <si>
    <t>Supervision of ANC/EPI distribution quality</t>
  </si>
  <si>
    <t>Routine HMIS data reporting &amp; validation</t>
  </si>
  <si>
    <t xml:space="preserve">  ▶  INDOOR RESIDUAL SPRAYING  [irs]</t>
  </si>
  <si>
    <t>Insecticide – Actellic 300CS (pirimiphos-methyl, 300g/L SC)</t>
  </si>
  <si>
    <t>Per Structure</t>
  </si>
  <si>
    <t>NgenIRS/IVCC programme pricing 2025; PMI costing data</t>
  </si>
  <si>
    <t>Insecticide – SumiShield 50WG (clothianidin, single AI)</t>
  </si>
  <si>
    <t>NgenIRS/IVCC programme pricing 2025</t>
  </si>
  <si>
    <t>Insecticide – Fludora Fusion (clothianidin+deltamethrin WP)</t>
  </si>
  <si>
    <t>Spray pump amortisation (knapsack/motorised)</t>
  </si>
  <si>
    <t>Equipment cost models; PMI 2024</t>
  </si>
  <si>
    <t>PPE per operator (gloves, mask, overalls, boot covers)</t>
  </si>
  <si>
    <t>Supply chain data 2025</t>
  </si>
  <si>
    <t>Insecticide &amp; equipment freight to district stores</t>
  </si>
  <si>
    <t>District-level storage &amp; stock control</t>
  </si>
  <si>
    <t>Programme logistics estimate</t>
  </si>
  <si>
    <t>Spray operator wages &amp; per diem (per HH sprayed)</t>
  </si>
  <si>
    <t>Country HR records / PMI 2024</t>
  </si>
  <si>
    <t>Pump washing, decontamination &amp; waste disposal</t>
  </si>
  <si>
    <t>Operational costing 2025</t>
  </si>
  <si>
    <t>Team leader &amp; supervisor per diem (per HH)</t>
  </si>
  <si>
    <t>Community mobilisation &amp; household registration</t>
  </si>
  <si>
    <t>PMI programme costing 2025</t>
  </si>
  <si>
    <t>Training of spray operators &amp; team leaders</t>
  </si>
  <si>
    <t>Technical assistance – entomology &amp; resistance testing</t>
  </si>
  <si>
    <t>TA contract estimates</t>
  </si>
  <si>
    <t>Entomological monitoring &amp; insecticide resistance surveys</t>
  </si>
  <si>
    <t>Spray quality control &amp; coverage verification visits</t>
  </si>
  <si>
    <t xml:space="preserve">  ▶  SEASONAL MALARIA CHEMOPREVENTION  [smc]</t>
  </si>
  <si>
    <t>SPAQ co-blister – cycle 1 (AQ76.5mg+SP12.5/250mg, child ≤15kg)</t>
  </si>
  <si>
    <t>Per child</t>
  </si>
  <si>
    <t>GF PPM ACT Ref. Price 2025 ($11.91/pack50)</t>
  </si>
  <si>
    <t>SPAQ co-blister – older child dose (AQ153mg+SP25/500mg, &gt;15kg)</t>
  </si>
  <si>
    <t>GF PPM ACT Ref. Price 2025 ($14.00/pack50)</t>
  </si>
  <si>
    <t>Central-to-district supply chain &amp; cold storage</t>
  </si>
  <si>
    <t>Programme logistics data 2025</t>
  </si>
  <si>
    <t>District-to-community distribution point transport</t>
  </si>
  <si>
    <t>CHW/distributor per diem per cycle (door-to-door)</t>
  </si>
  <si>
    <t>Malaria Consortium / GiveWell costing 2025</t>
  </si>
  <si>
    <t>Direct observation of treatment (DOT) – day 1</t>
  </si>
  <si>
    <t>Programme operational costing</t>
  </si>
  <si>
    <t>Community mobilisation &amp; caregiver education per cycle</t>
  </si>
  <si>
    <t>Data recording forms &amp; reporting tools</t>
  </si>
  <si>
    <t>Training of CHWs &amp; distributors (annualised per child)</t>
  </si>
  <si>
    <t>Supervisory visits per cycle (district → community)</t>
  </si>
  <si>
    <t>Post-campaign coverage survey (annualised per child)</t>
  </si>
  <si>
    <t xml:space="preserve">  ▶  INTERMITTENT PREVENTIVE TREATMENT IN SCHOOL-AGED CHILDREN  [iptsc]</t>
  </si>
  <si>
    <t>DP (dihydroartemisinin-piperaquine) round 1 – DHA/PPQ 40/320mg course</t>
  </si>
  <si>
    <t>GF PPM ACT Ref. Price 2025 ($36.38/pack25)</t>
  </si>
  <si>
    <t>DP round 2 – DHA/PPQ 40/320mg course</t>
  </si>
  <si>
    <t>DP round 3 – DHA/PPQ 40/320mg course</t>
  </si>
  <si>
    <t>DP dispersible (younger SAC &lt;25kg) – DHA/PPQ 20/160mg course</t>
  </si>
  <si>
    <t>GF PPM ACT Ref. Price 2025 ($20.61/pack25)</t>
  </si>
  <si>
    <t>Supply chain – DP delivery to schools</t>
  </si>
  <si>
    <t>Teacher / CHW administration time per round</t>
  </si>
  <si>
    <t>IPTsc Tanzania trial costing (Makenga et al. 2025)</t>
  </si>
  <si>
    <t>Direct observation of treatment (DOT) &amp; recording</t>
  </si>
  <si>
    <t>Parental consent, sensitisation &amp; community engagement</t>
  </si>
  <si>
    <t>PMI/school health programme costing 2025</t>
  </si>
  <si>
    <t>Training of teachers / CHWs on IPTsc protocol (annualised)</t>
  </si>
  <si>
    <t>Supervision of school-based distribution &amp; quality assurance</t>
  </si>
  <si>
    <t>School register, coverage monitoring &amp; reporting</t>
  </si>
  <si>
    <t>School health programme M&amp;E costing</t>
  </si>
  <si>
    <t xml:space="preserve">  ▶  MALARIA VACCINE (RTS,S / R21)  [vax]</t>
  </si>
  <si>
    <t>RTS,S/AS01E dose 1 – per dose ($9.50, 2025 level; reduction announced Jun 2025)</t>
  </si>
  <si>
    <t>GSK/Bharat Biotech 2025; reduction announced Jun 2025 (Devex)</t>
  </si>
  <si>
    <t>RTS,S/AS01E dose 2</t>
  </si>
  <si>
    <t>GSK/Bharat Biotech 2025 – see dose 1 note</t>
  </si>
  <si>
    <t>RTS,S/AS01E dose 3</t>
  </si>
  <si>
    <t>RTS,S/AS01E dose 4 (booster, 2nd year of life)</t>
  </si>
  <si>
    <t>R21/Matrix-M dose 1 – per dose ($3.90, Gavi/UNICEF 2025 price)</t>
  </si>
  <si>
    <t>Gavi/UNICEF equitable pricing deal, Nov 2025 (Devex, UN News)</t>
  </si>
  <si>
    <t>R21/Matrix-M dose 2</t>
  </si>
  <si>
    <t>Gavi/UNICEF Nov 2025 – see dose 1 note</t>
  </si>
  <si>
    <t>R21/Matrix-M dose 3</t>
  </si>
  <si>
    <t>R21/Matrix-M dose 4 (booster, 2nd year of life)</t>
  </si>
  <si>
    <t>Vaccine diluent, syringes &amp; auto-disable devices</t>
  </si>
  <si>
    <t>UNICEF supply catalogue 2025</t>
  </si>
  <si>
    <t>Safety boxes, waste segregation &amp; disposal</t>
  </si>
  <si>
    <t>Cold-chain costs (vaccine-grade 2–8°C refrigeration)</t>
  </si>
  <si>
    <t>UNICEF cold-chain assessment 2024-25</t>
  </si>
  <si>
    <t>Last-mile vaccine transport to outreach &amp; facility</t>
  </si>
  <si>
    <t>COOP MALARIA ELIMINATION PROGRAMME
Unit Cost Comprehensive Tool — v2.1</t>
  </si>
  <si>
    <t>Focused on 6 Core Interventions  |  Vector Control &amp; Chemoprevention  |  Comprehensive Input-Level Costing</t>
  </si>
  <si>
    <t>Mass ITN
Campaigns</t>
  </si>
  <si>
    <t>Routine ITN
Distribution</t>
  </si>
  <si>
    <t>Indoor Residual
Spraying</t>
  </si>
  <si>
    <t>Seasonal Malaria
Chemoprev.</t>
  </si>
  <si>
    <t>IPT School-
Aged Children</t>
  </si>
  <si>
    <t>Malaria Vaccine
RTS,S / R21</t>
  </si>
  <si>
    <t>MII</t>
  </si>
  <si>
    <t>MII_ROUTINE</t>
  </si>
  <si>
    <t>IRS</t>
  </si>
  <si>
    <t>SMC</t>
  </si>
  <si>
    <t>IPTSC</t>
  </si>
  <si>
    <t>VAX</t>
  </si>
  <si>
    <t>Programme Information</t>
  </si>
  <si>
    <t>Country / Region:</t>
  </si>
  <si>
    <t>Programme Name:</t>
  </si>
  <si>
    <t>COOP Malaria Elimination</t>
  </si>
  <si>
    <t>Reporting Year:</t>
  </si>
  <si>
    <t>Base Currency:</t>
  </si>
  <si>
    <t>USD</t>
  </si>
  <si>
    <t>Prepared By:</t>
  </si>
  <si>
    <t>Date:</t>
  </si>
  <si>
    <t>Version:</t>
  </si>
  <si>
    <t>2.1</t>
  </si>
  <si>
    <t>ℹ️  WORKFLOW:  ① Assumptions — set coverage targets &amp; parameters  →  ② Unit Costs — enter/verify all cost lines  →  ③ Summary — review totals by intervention &amp; category  →  ④ Cost-per-Person — compute cost-effectiveness metrics</t>
  </si>
  <si>
    <t>COST-PER-PERSON PROTECTED / TREATED ANALYSIS</t>
  </si>
  <si>
    <t>Enter eligible population and coverage in the Assumptions sheet. Cost totals link from Summary sheet.</t>
  </si>
  <si>
    <t>Total Programme
Cost (USD)</t>
  </si>
  <si>
    <t>Actual Coverage
(%)</t>
  </si>
  <si>
    <t>Persons Reached</t>
  </si>
  <si>
    <t>Cost per Person
Targeted (USD)</t>
  </si>
  <si>
    <t>Cost per Person
Reached (USD)</t>
  </si>
  <si>
    <t>DATA QUALITY &amp; SOURCE VALIDATION LOG</t>
  </si>
  <si>
    <t>Score: 1 = Modelled/estimated  |  2 = Programme administrative data  |  3 = Primary data / peer-reviewed study (highest)</t>
  </si>
  <si>
    <t>Intervention Code</t>
  </si>
  <si>
    <t>Input Description</t>
  </si>
  <si>
    <t>Data Source</t>
  </si>
  <si>
    <t>Reference Document / URL</t>
  </si>
  <si>
    <t>Date Retrieved</t>
  </si>
  <si>
    <t>Quality Score</t>
  </si>
  <si>
    <t>Notes/Caveats</t>
  </si>
  <si>
    <t>Standard LLIN (bulk) – $1.72/net FOB</t>
  </si>
  <si>
    <t>GF Pooled Procurement Mechanism</t>
  </si>
  <si>
    <t>GF PPM LLIN Ref. Price 2025 (psm_llinreferenceprices_table_en.pdf)</t>
  </si>
  <si>
    <t>2025</t>
  </si>
  <si>
    <t>3</t>
  </si>
  <si>
    <t>GF PPM framework agreement price; bulk pkg for mass campaigns</t>
  </si>
  <si>
    <t>PBO LLIN (bulk) – $1.92/net FOB</t>
  </si>
  <si>
    <t>GF PPM LLIN Ref. Price 2025</t>
  </si>
  <si>
    <t>GF PPM framework agreement price</t>
  </si>
  <si>
    <t>Dual AI CFP LLIN (bulk) – $2.35/net FOB</t>
  </si>
  <si>
    <t>Next-gen chlorfenapyr+pyrethroid net</t>
  </si>
  <si>
    <t>Distribution cost per net</t>
  </si>
  <si>
    <t>NMC Campaign Report 2025</t>
  </si>
  <si>
    <t>2025-06</t>
  </si>
  <si>
    <t>2</t>
  </si>
  <si>
    <t>Based on 2024/25 campaign actuals; update with country data</t>
  </si>
  <si>
    <t>Actellic 300CS – ~$5.20/HH</t>
  </si>
  <si>
    <t>NgenIRS/IVCC &amp; PMI programme data</t>
  </si>
  <si>
    <t>NgenIRS Programme Pricing 2025; Alonso et al. Malaria J 2021</t>
  </si>
  <si>
    <t>2025-03</t>
  </si>
  <si>
    <t>Derived: ~$18-22/bottle ÷ ~3.5 HH per bottle; update w/ country quote</t>
  </si>
  <si>
    <t>SPAQ (child ≤15kg) – $0.24/blister</t>
  </si>
  <si>
    <t>GF PPM ACT Ref. Price 2025 (ppm_act-reference-pricing_table_en.pdf)</t>
  </si>
  <si>
    <t>AQ76.5mg+SP12.5/250mg co-blister, pack50 = $11.91; per treatment = $0.24</t>
  </si>
  <si>
    <t>SPAQ (child &gt;15kg) – $0.28/blister</t>
  </si>
  <si>
    <t>GF PPM ACT Ref. Price 2025</t>
  </si>
  <si>
    <t>AQ153mg+SP25/500mg co-blister, pack50 = $14.00; per treatment = $0.28</t>
  </si>
  <si>
    <t>DP (DHA-PPQ) 40/320mg – $1.46/course</t>
  </si>
  <si>
    <t>DHA/PPQ 40/320mg tablet, blister of 9, pack of 25 = $36.38; per course = $1.46</t>
  </si>
  <si>
    <t>R21/Matrix-M – $3.90/dose (Gavi/UNICEF 2025)</t>
  </si>
  <si>
    <t>Gavi / UNICEF / Serum Institute</t>
  </si>
  <si>
    <t>Gavi-UNICEF pricing deal press release 24 Nov 2025 (gavi.org)</t>
  </si>
  <si>
    <t>2025-11</t>
  </si>
  <si>
    <t>Gavi/UNICEF 2025 price; 4-dose course = $15.60/child</t>
  </si>
  <si>
    <t>RTS,S – ~$9.50/dose (reducing to &lt;$5 progressively)</t>
  </si>
  <si>
    <t>GSK / Bharat Biotech</t>
  </si>
  <si>
    <t>Devex Nov 2025; RTS,S reduction announced Jun 2025 (GSK/Bharat Biotech)</t>
  </si>
  <si>
    <t>4-dose course ~$38/child at current price; progressive reduction to &lt;$5/dose</t>
  </si>
  <si>
    <t>Cold-chain cost per child</t>
  </si>
  <si>
    <t>UNICEF EPI Assessment</t>
  </si>
  <si>
    <t>UNICEF Cold Chain Assessment 2024-25</t>
  </si>
  <si>
    <t>2025-04</t>
  </si>
  <si>
    <t>Country-specific; $1.15/child estimate – update with national EPI data</t>
  </si>
  <si>
    <t>UNIT COST COMPONENT BREAKDOWN BY INTERVENTION</t>
  </si>
  <si>
    <t>Reference unit costs per commodity/activity.  Values drawn from Unit Costs sheet.  Use this view to review cost drivers at a glance.</t>
  </si>
  <si>
    <t>Cost Category</t>
  </si>
  <si>
    <t>Unit</t>
  </si>
  <si>
    <t>Reference Unit Cost (USD)</t>
  </si>
  <si>
    <t>Source</t>
  </si>
  <si>
    <t xml:space="preserve">  ▶  MASS ITN CAMPAIGNS</t>
  </si>
  <si>
    <t xml:space="preserve">  ▶  ROUTINE ITN DISTRIBUTION</t>
  </si>
  <si>
    <t xml:space="preserve">  ▶  INDOOR RESIDUAL SPRAYING</t>
  </si>
  <si>
    <t xml:space="preserve">  ▶  SEASONAL MALARIA CHEMOPREVENTION</t>
  </si>
  <si>
    <t xml:space="preserve">  ▶  INTERMITTENT PREVENTIVE TREATMENT IN SCHOOL-AGED CHILDREN</t>
  </si>
  <si>
    <t xml:space="preserve">  ▶  MALARIA VACCINE (RTS,S / R21)</t>
  </si>
  <si>
    <t>EPI nurse / vaccinator session time (costed share)</t>
  </si>
  <si>
    <t>HR records / time-motion evidence</t>
  </si>
  <si>
    <t>Outreach vaccination session costs (fuel, venue)</t>
  </si>
  <si>
    <t>PMI/GAVI costing 2024</t>
  </si>
  <si>
    <t>Defaulter tracing &amp; reminder SMS/community outreach</t>
  </si>
  <si>
    <t>Community mobilisation &amp; caregiver education</t>
  </si>
  <si>
    <t>VVM monitoring, register &amp; reporting</t>
  </si>
  <si>
    <t>Training of EPI vaccinators &amp; cold-chain staff</t>
  </si>
  <si>
    <t>Cold-chain equipment maintenance &amp; technician costs</t>
  </si>
  <si>
    <t>Equipment cost models</t>
  </si>
  <si>
    <t>Technical assistance for malaria vaccine integration into EPI</t>
  </si>
  <si>
    <t>Coverage monitoring &amp; post-introduction evaluation survey</t>
  </si>
  <si>
    <t>Vaccine safety surveillance – AEFI reporting &amp; investigation</t>
  </si>
  <si>
    <t>EPI programme estimates</t>
  </si>
  <si>
    <t>HOW TO USE THIS TOOL — STEP-BY-STEP GUIDE</t>
  </si>
  <si>
    <t xml:space="preserve">  STEP 1: Set Programme Parameters</t>
  </si>
  <si>
    <t xml:space="preserve">      • Open the ⚙ Assumptions sheet.</t>
  </si>
  <si>
    <t xml:space="preserve">      • Enter the coverage targets: eligible population, target coverage (%), and cycles/doses per person for each intervention.</t>
  </si>
  <si>
    <t xml:space="preserve">      • In the Coverage Targets table enter: eligible population, target coverage (%), and planned delivery units for each intervention.</t>
  </si>
  <si>
    <t xml:space="preserve">      • Adjust the ITN persons-per-net ratio and SMC parameters as needed.</t>
  </si>
  <si>
    <t xml:space="preserve">  STEP 2: Review Intervention List</t>
  </si>
  <si>
    <t xml:space="preserve">      • Open 🗂 Interventions — all 6 core interventions are pre-loaded.</t>
  </si>
  <si>
    <t xml:space="preserve">      • Review target population descriptions and delivery channels.</t>
  </si>
  <si>
    <t xml:space="preserve">      • Add notes or adjust definitions to match your country context.</t>
  </si>
  <si>
    <t xml:space="preserve">  STEP 3: Enter / Verify Unit Costs</t>
  </si>
  <si>
    <t xml:space="preserve">      • Open 📝 Unit Costs — this is the main data entry sheet.</t>
  </si>
  <si>
    <t xml:space="preserve">      • Reference unit costs are pre-populated per input line. Update them with your actual programme prices.</t>
  </si>
  <si>
    <t xml:space="preserve">      • Blue cells = user inputs. Enter the unit cost directly in USD (col G).</t>
  </si>
  <si>
    <t xml:space="preserve">      • Enter target delivery quantities in col J to generate total costs.</t>
  </si>
  <si>
    <t xml:space="preserve">      • Always document the data source in col H and assign a quality score (1–3) in col M.</t>
  </si>
  <si>
    <t xml:space="preserve">  STEP 4: Review Summaries</t>
  </si>
  <si>
    <t xml:space="preserve">      • Open 📊 Summary — use the Year filter (cell C3) to view costs for a specific year.</t>
  </si>
  <si>
    <t xml:space="preserve">      • Review procurement, distribution, operational and support costs by intervention.</t>
  </si>
  <si>
    <t xml:space="preserve">      • Cross-check grand totals against programme budget submissions.</t>
  </si>
  <si>
    <t xml:space="preserve">  STEP 5: Cost-per-Person Analysis</t>
  </si>
  <si>
    <t xml:space="preserve">      • Open 📉 Cost-per-Person.</t>
  </si>
  <si>
    <t xml:space="preserve">      • Eligible population and coverage automatically link from the Assumptions sheet.</t>
  </si>
  <si>
    <t xml:space="preserve">      • Review cost per person targeted vs. cost per person reached — key metrics for value-for-money analysis.</t>
  </si>
  <si>
    <t xml:space="preserve">  STEP 6: Document Data Quality</t>
  </si>
  <si>
    <t xml:space="preserve">      • Open ✅ Data Quality and record the source for each unit cost.</t>
  </si>
  <si>
    <t xml:space="preserve">      • Quality scores: 1 = modelled, 2 = programme administrative data, 3 = primary study (highest).</t>
  </si>
  <si>
    <t xml:space="preserve">      • A transparent quality log is required for all donor-facing submissions.</t>
  </si>
  <si>
    <t>SPAQ co-blister – (AQ76.5mg+SP12.5/250mg, child ≤15kg)</t>
  </si>
  <si>
    <t>Exchange Rate: USD</t>
  </si>
  <si>
    <t>https://www.cbg.gm/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</si>
</sst>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0.0%"/>
    <numFmt numFmtId="167" formatCode="#,##0.0000"/>
  </numFmts>
  <fonts count="4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C2833"/>
      <name val="Arial"/>
      <family val="2"/>
    </font>
    <font>
      <sz val="10"/>
      <color rgb="FF1A54A8"/>
      <name val="Arial"/>
      <family val="2"/>
    </font>
    <font>
      <sz val="10"/>
      <color rgb="FF000000"/>
      <name val="Arial"/>
      <family val="2"/>
    </font>
    <font>
      <b/>
      <sz val="10"/>
      <color rgb="FF1C2833"/>
      <name val="Arial"/>
      <family val="2"/>
    </font>
    <font>
      <b/>
      <sz val="10"/>
      <color rgb="FF1A54A8"/>
      <name val="Arial"/>
      <family val="2"/>
    </font>
    <font>
      <i/>
      <sz val="9"/>
      <color rgb="FF148F77"/>
      <name val="Arial"/>
      <family val="2"/>
    </font>
    <font>
      <b/>
      <sz val="10"/>
      <color rgb="FF1E8449"/>
      <name val="Arial"/>
      <family val="2"/>
    </font>
    <font>
      <b/>
      <sz val="10"/>
      <color rgb="FF148F77"/>
      <name val="Arial"/>
      <family val="2"/>
    </font>
    <font>
      <b/>
      <sz val="10"/>
      <color rgb="FF1A5276"/>
      <name val="Arial"/>
      <family val="2"/>
    </font>
    <font>
      <b/>
      <sz val="10"/>
      <color rgb="FFE67E22"/>
      <name val="Arial"/>
      <family val="2"/>
    </font>
    <font>
      <b/>
      <sz val="10"/>
      <color rgb="FF6C3483"/>
      <name val="Arial"/>
      <family val="2"/>
    </font>
    <font>
      <b/>
      <sz val="10"/>
      <color rgb="FFC0392B"/>
      <name val="Arial"/>
      <family val="2"/>
    </font>
    <font>
      <sz val="9"/>
      <name val="Arial"/>
      <family val="2"/>
    </font>
    <font>
      <i/>
      <sz val="9"/>
      <color rgb="FF1A5276"/>
      <name val="Arial"/>
      <family val="2"/>
    </font>
    <font>
      <b/>
      <sz val="10"/>
      <name val="Arial"/>
      <family val="2"/>
    </font>
    <font>
      <b/>
      <sz val="12"/>
      <color rgb="FF1A54A8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i/>
      <sz val="7"/>
      <color rgb="FFFFFFFF"/>
      <name val="Arial"/>
      <family val="2"/>
    </font>
    <font>
      <sz val="10"/>
      <color rgb="FF1E8449"/>
      <name val="Arial"/>
      <family val="2"/>
    </font>
    <font>
      <sz val="9"/>
      <color rgb="FF1A54A8"/>
      <name val="Arial"/>
      <family val="2"/>
    </font>
    <font>
      <b/>
      <sz val="18"/>
      <color rgb="FFFFFFFF"/>
      <name val="Arial"/>
      <family val="2"/>
    </font>
    <font>
      <i/>
      <sz val="11"/>
      <color rgb="FF1A5276"/>
      <name val="Arial"/>
      <family val="2"/>
    </font>
    <font>
      <b/>
      <sz val="14"/>
      <color rgb="FF1E8449"/>
      <name val="Arial"/>
      <family val="2"/>
    </font>
    <font>
      <b/>
      <sz val="14"/>
      <color rgb="FF148F77"/>
      <name val="Arial"/>
      <family val="2"/>
    </font>
    <font>
      <b/>
      <sz val="14"/>
      <color rgb="FF1A5276"/>
      <name val="Arial"/>
      <family val="2"/>
    </font>
    <font>
      <b/>
      <sz val="14"/>
      <color rgb="FFE67E22"/>
      <name val="Arial"/>
      <family val="2"/>
    </font>
    <font>
      <b/>
      <sz val="14"/>
      <color rgb="FF6C3483"/>
      <name val="Arial"/>
      <family val="2"/>
    </font>
    <font>
      <b/>
      <sz val="14"/>
      <color rgb="FFC0392B"/>
      <name val="Arial"/>
      <family val="2"/>
    </font>
    <font>
      <i/>
      <sz val="9"/>
      <color rgb="FF6C3483"/>
      <name val="Arial"/>
      <family val="2"/>
    </font>
    <font>
      <b/>
      <sz val="9"/>
      <color rgb="FFC0392B"/>
      <name val="Arial"/>
      <family val="2"/>
    </font>
    <font>
      <b/>
      <sz val="9"/>
      <color rgb="FF148F77"/>
      <name val="Arial"/>
      <family val="2"/>
    </font>
    <font>
      <b/>
      <sz val="9"/>
      <color rgb="FF1E8449"/>
      <name val="Arial"/>
      <family val="2"/>
    </font>
    <font>
      <b/>
      <sz val="9"/>
      <color rgb="FFE67E22"/>
      <name val="Arial"/>
      <family val="2"/>
    </font>
    <font>
      <b/>
      <sz val="9"/>
      <color rgb="FF6C3483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color rgb="FF1A54A8"/>
      <name val="Arial"/>
      <family val="2"/>
    </font>
    <font>
      <sz val="10"/>
      <color rgb="FF1A54A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5276"/>
        <bgColor rgb="FF1A54A8"/>
      </patternFill>
    </fill>
    <fill>
      <patternFill patternType="solid">
        <fgColor rgb="FFF39C12"/>
        <bgColor rgb="FFE67E22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2F3F4"/>
      </patternFill>
    </fill>
    <fill>
      <patternFill patternType="solid">
        <fgColor rgb="FFD5F5E3"/>
        <bgColor rgb="FFF2F3F4"/>
      </patternFill>
    </fill>
    <fill>
      <patternFill patternType="solid">
        <fgColor rgb="FFF2F3F4"/>
        <bgColor rgb="FFF4ECF7"/>
      </patternFill>
    </fill>
    <fill>
      <patternFill patternType="solid">
        <fgColor rgb="FF148F77"/>
        <bgColor rgb="FF1E8449"/>
      </patternFill>
    </fill>
    <fill>
      <patternFill patternType="solid">
        <fgColor rgb="FF1E8449"/>
        <bgColor rgb="FF148F77"/>
      </patternFill>
    </fill>
    <fill>
      <patternFill patternType="solid">
        <fgColor rgb="FF6C3483"/>
        <bgColor rgb="FF8E44AD"/>
      </patternFill>
    </fill>
    <fill>
      <patternFill patternType="solid">
        <fgColor rgb="FFE67E22"/>
        <bgColor rgb="FFF39C12"/>
      </patternFill>
    </fill>
    <fill>
      <patternFill patternType="solid">
        <fgColor rgb="FFC0392B"/>
        <bgColor rgb="FF8E44AD"/>
      </patternFill>
    </fill>
    <fill>
      <patternFill patternType="solid">
        <fgColor rgb="FFF4ECF7"/>
        <bgColor rgb="FFF2F3F4"/>
      </patternFill>
    </fill>
    <fill>
      <patternFill patternType="solid">
        <fgColor rgb="FFFFFF00"/>
        <bgColor rgb="FFFEF9E7"/>
      </patternFill>
    </fill>
    <fill>
      <patternFill patternType="solid">
        <fgColor rgb="FFFFFF00"/>
        <bgColor rgb="FFF2F3F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center" vertical="center" wrapText="1"/>
    </xf>
    <xf numFmtId="10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18" fillId="5" borderId="1" xfId="0" applyNumberFormat="1" applyFont="1" applyFill="1" applyBorder="1"/>
    <xf numFmtId="0" fontId="6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left" vertical="center" wrapText="1"/>
    </xf>
    <xf numFmtId="4" fontId="5" fillId="6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left" vertical="center" wrapText="1"/>
    </xf>
    <xf numFmtId="3" fontId="19" fillId="2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left" vertical="center" wrapText="1"/>
    </xf>
    <xf numFmtId="166" fontId="5" fillId="6" borderId="1" xfId="0" applyNumberFormat="1" applyFont="1" applyFill="1" applyBorder="1" applyAlignment="1">
      <alignment horizontal="right" vertical="center"/>
    </xf>
    <xf numFmtId="0" fontId="17" fillId="7" borderId="1" xfId="0" applyFont="1" applyFill="1" applyBorder="1"/>
    <xf numFmtId="3" fontId="22" fillId="4" borderId="1" xfId="0" applyNumberFormat="1" applyFont="1" applyFill="1" applyBorder="1" applyAlignment="1">
      <alignment horizontal="left" vertical="center" wrapText="1"/>
    </xf>
    <xf numFmtId="9" fontId="22" fillId="4" borderId="1" xfId="0" applyNumberFormat="1" applyFont="1" applyFill="1" applyBorder="1" applyAlignment="1">
      <alignment horizontal="left" vertical="center" wrapText="1"/>
    </xf>
    <xf numFmtId="3" fontId="22" fillId="6" borderId="1" xfId="0" applyNumberFormat="1" applyFont="1" applyFill="1" applyBorder="1" applyAlignment="1">
      <alignment horizontal="left" vertical="center" wrapText="1"/>
    </xf>
    <xf numFmtId="9" fontId="22" fillId="6" borderId="1" xfId="0" applyNumberFormat="1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right" vertical="center"/>
    </xf>
    <xf numFmtId="0" fontId="33" fillId="4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right" vertical="center"/>
    </xf>
    <xf numFmtId="0" fontId="34" fillId="6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67" fontId="41" fillId="5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left" vertical="center" wrapText="1"/>
    </xf>
    <xf numFmtId="0" fontId="17" fillId="7" borderId="2" xfId="0" applyFont="1" applyFill="1" applyBorder="1"/>
    <xf numFmtId="0" fontId="19" fillId="2" borderId="2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0" fontId="16" fillId="5" borderId="4" xfId="0" applyFont="1" applyFill="1" applyBorder="1" applyAlignment="1">
      <alignment horizontal="left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30" fillId="6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horizontal="left" vertical="center" wrapText="1"/>
    </xf>
    <xf numFmtId="0" fontId="39" fillId="4" borderId="2" xfId="0" applyFont="1" applyFill="1" applyBorder="1" applyAlignment="1">
      <alignment horizontal="left" vertical="center" wrapText="1"/>
    </xf>
    <xf numFmtId="0" fontId="38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C0C0C0"/>
      <rgbColor rgb="FF808080"/>
      <rgbColor rgb="FF9999FF"/>
      <rgbColor rgb="FF6C3483"/>
      <rgbColor rgb="FFFEF9E7"/>
      <rgbColor rgb="FFF2F3F4"/>
      <rgbColor rgb="FF660066"/>
      <rgbColor rgb="FFFF8080"/>
      <rgbColor rgb="FF1A54A8"/>
      <rgbColor rgb="FFCCCCFF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F4ECF7"/>
      <rgbColor rgb="FFD5F5E3"/>
      <rgbColor rgb="FFFFFF99"/>
      <rgbColor rgb="FF99CCFF"/>
      <rgbColor rgb="FFFF99CC"/>
      <rgbColor rgb="FFCC99FF"/>
      <rgbColor rgb="FFFADBD8"/>
      <rgbColor rgb="FF2980B9"/>
      <rgbColor rgb="FF33CCCC"/>
      <rgbColor rgb="FF99CC00"/>
      <rgbColor rgb="FFFFCC00"/>
      <rgbColor rgb="FFF39C12"/>
      <rgbColor rgb="FFE67E22"/>
      <rgbColor rgb="FF666699"/>
      <rgbColor rgb="FF969696"/>
      <rgbColor rgb="FF1A5276"/>
      <rgbColor rgb="FF27AE60"/>
      <rgbColor rgb="FF003300"/>
      <rgbColor rgb="FF333300"/>
      <rgbColor rgb="FFC0392B"/>
      <rgbColor rgb="FF8E44AD"/>
      <rgbColor rgb="FF333399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I20"/>
  <sheetViews>
    <sheetView showGridLines="0" topLeftCell="A5" zoomScale="130" zoomScaleNormal="130" workbookViewId="0">
      <selection activeCell="F14" sqref="F14"/>
    </sheetView>
  </sheetViews>
  <sheetFormatPr defaultColWidth="8.5703125" defaultRowHeight="15" x14ac:dyDescent="0.25"/>
  <cols>
    <col min="1" max="1" width="12" customWidth="1"/>
    <col min="2" max="2" width="36" customWidth="1"/>
    <col min="3" max="3" width="34" customWidth="1"/>
    <col min="4" max="4" width="18" customWidth="1"/>
    <col min="5" max="5" width="14" customWidth="1"/>
    <col min="6" max="6" width="16" customWidth="1"/>
    <col min="7" max="7" width="14" customWidth="1"/>
    <col min="8" max="8" width="16" customWidth="1"/>
    <col min="9" max="9" width="8" customWidth="1"/>
  </cols>
  <sheetData>
    <row r="1" spans="1:9" ht="27.75" customHeight="1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</row>
    <row r="3" spans="1:9" ht="15" customHeight="1" x14ac:dyDescent="0.25">
      <c r="A3" s="75" t="s">
        <v>1</v>
      </c>
      <c r="B3" s="75"/>
      <c r="C3" s="75"/>
      <c r="D3" s="75"/>
      <c r="E3" s="75"/>
      <c r="F3" s="75"/>
      <c r="G3" s="75"/>
      <c r="H3" s="75"/>
      <c r="I3" s="75"/>
    </row>
    <row r="4" spans="1:9" ht="36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3.25" customHeight="1" x14ac:dyDescent="0.25">
      <c r="A5" s="3" t="s">
        <v>11</v>
      </c>
      <c r="B5" s="4" t="s">
        <v>12</v>
      </c>
      <c r="C5" s="4" t="s">
        <v>13</v>
      </c>
      <c r="D5" s="5">
        <v>2817703</v>
      </c>
      <c r="E5" s="6">
        <v>1</v>
      </c>
      <c r="F5" s="7">
        <f>IFERROR(ROUNDUP(D5*E5/$F$12,0),"")</f>
        <v>1565391</v>
      </c>
      <c r="G5" s="8">
        <v>1</v>
      </c>
      <c r="H5" s="7">
        <f t="shared" ref="H5:H10" si="0">IFERROR(F5*G5,"")</f>
        <v>1565391</v>
      </c>
      <c r="I5" s="8">
        <v>2025</v>
      </c>
    </row>
    <row r="6" spans="1:9" ht="23.25" customHeight="1" x14ac:dyDescent="0.25">
      <c r="A6" s="9" t="s">
        <v>14</v>
      </c>
      <c r="B6" s="10" t="s">
        <v>15</v>
      </c>
      <c r="C6" s="10" t="s">
        <v>16</v>
      </c>
      <c r="D6" s="11">
        <f>IFERROR(ROUND(D5*$F$14,0),"")</f>
        <v>232179</v>
      </c>
      <c r="E6" s="6">
        <v>1</v>
      </c>
      <c r="F6" s="11">
        <f>IFERROR(ROUNDUP(D6*E6,0),"")</f>
        <v>232179</v>
      </c>
      <c r="G6" s="8">
        <v>1</v>
      </c>
      <c r="H6" s="11">
        <f t="shared" si="0"/>
        <v>232179</v>
      </c>
      <c r="I6" s="8">
        <v>2025</v>
      </c>
    </row>
    <row r="7" spans="1:9" ht="23.25" customHeight="1" x14ac:dyDescent="0.25">
      <c r="A7" s="3" t="s">
        <v>17</v>
      </c>
      <c r="B7" s="4" t="s">
        <v>18</v>
      </c>
      <c r="C7" s="4" t="s">
        <v>19</v>
      </c>
      <c r="D7" s="5"/>
      <c r="E7" s="6">
        <v>0.85</v>
      </c>
      <c r="F7" s="5"/>
      <c r="G7" s="8">
        <v>1</v>
      </c>
      <c r="H7" s="7">
        <f t="shared" si="0"/>
        <v>0</v>
      </c>
      <c r="I7" s="8">
        <v>2025</v>
      </c>
    </row>
    <row r="8" spans="1:9" ht="15" customHeight="1" x14ac:dyDescent="0.25">
      <c r="A8" s="9" t="s">
        <v>20</v>
      </c>
      <c r="B8" s="10" t="s">
        <v>21</v>
      </c>
      <c r="C8" s="10" t="s">
        <v>22</v>
      </c>
      <c r="D8" s="11">
        <f>IFERROR(ROUND($F$16*$F$17,0),"")</f>
        <v>307316</v>
      </c>
      <c r="E8" s="6">
        <v>1</v>
      </c>
      <c r="F8" s="11">
        <f>IFERROR(ROUND(D8*E8,0),"")</f>
        <v>307316</v>
      </c>
      <c r="G8" s="8">
        <v>4</v>
      </c>
      <c r="H8" s="11">
        <f t="shared" si="0"/>
        <v>1229264</v>
      </c>
      <c r="I8" s="8">
        <v>2025</v>
      </c>
    </row>
    <row r="9" spans="1:9" ht="23.25" customHeight="1" x14ac:dyDescent="0.25">
      <c r="A9" s="3" t="s">
        <v>23</v>
      </c>
      <c r="B9" s="4" t="s">
        <v>24</v>
      </c>
      <c r="C9" s="4" t="s">
        <v>25</v>
      </c>
      <c r="D9" s="5"/>
      <c r="E9" s="6">
        <v>0.85</v>
      </c>
      <c r="F9" s="5"/>
      <c r="G9" s="8">
        <v>3</v>
      </c>
      <c r="H9" s="7">
        <f t="shared" si="0"/>
        <v>0</v>
      </c>
      <c r="I9" s="8">
        <v>2025</v>
      </c>
    </row>
    <row r="10" spans="1:9" ht="15" customHeight="1" x14ac:dyDescent="0.25">
      <c r="A10" s="9" t="s">
        <v>26</v>
      </c>
      <c r="B10" s="10" t="s">
        <v>27</v>
      </c>
      <c r="C10" s="10" t="s">
        <v>28</v>
      </c>
      <c r="D10" s="5"/>
      <c r="E10" s="6">
        <v>0.85</v>
      </c>
      <c r="F10" s="5"/>
      <c r="G10" s="8">
        <v>4</v>
      </c>
      <c r="H10" s="11">
        <f t="shared" si="0"/>
        <v>0</v>
      </c>
      <c r="I10" s="8">
        <v>2025</v>
      </c>
    </row>
    <row r="12" spans="1:9" ht="15" customHeight="1" x14ac:dyDescent="0.25">
      <c r="B12" s="73" t="s">
        <v>29</v>
      </c>
      <c r="C12" s="73"/>
      <c r="D12" s="73"/>
      <c r="E12" s="73"/>
      <c r="F12" s="12">
        <v>1.8</v>
      </c>
    </row>
    <row r="13" spans="1:9" ht="27.75" customHeight="1" x14ac:dyDescent="0.25">
      <c r="B13" s="72" t="s">
        <v>30</v>
      </c>
      <c r="C13" s="72"/>
      <c r="D13" s="72"/>
      <c r="E13" s="72"/>
      <c r="F13" s="72"/>
      <c r="G13" s="72"/>
      <c r="H13" s="72"/>
      <c r="I13" s="72"/>
    </row>
    <row r="14" spans="1:9" ht="15" customHeight="1" x14ac:dyDescent="0.25">
      <c r="B14" s="73" t="s">
        <v>31</v>
      </c>
      <c r="C14" s="73"/>
      <c r="D14" s="73"/>
      <c r="E14" s="73"/>
      <c r="F14" s="13">
        <v>8.2400000000000001E-2</v>
      </c>
    </row>
    <row r="15" spans="1:9" ht="27.75" customHeight="1" x14ac:dyDescent="0.25">
      <c r="B15" s="72" t="s">
        <v>32</v>
      </c>
      <c r="C15" s="72"/>
      <c r="D15" s="72"/>
      <c r="E15" s="72"/>
      <c r="F15" s="72"/>
      <c r="G15" s="72"/>
      <c r="H15" s="72"/>
      <c r="I15" s="72"/>
    </row>
    <row r="16" spans="1:9" ht="15" customHeight="1" x14ac:dyDescent="0.25">
      <c r="B16" s="73" t="s">
        <v>33</v>
      </c>
      <c r="C16" s="73"/>
      <c r="D16" s="73"/>
      <c r="E16" s="73"/>
      <c r="F16" s="14">
        <v>2051511</v>
      </c>
    </row>
    <row r="17" spans="2:9" ht="15" customHeight="1" x14ac:dyDescent="0.25">
      <c r="B17" s="73" t="s">
        <v>34</v>
      </c>
      <c r="C17" s="73"/>
      <c r="D17" s="73"/>
      <c r="E17" s="73"/>
      <c r="F17" s="13">
        <v>0.14979999999999999</v>
      </c>
    </row>
    <row r="18" spans="2:9" ht="27.75" customHeight="1" x14ac:dyDescent="0.25">
      <c r="B18" s="72" t="s">
        <v>35</v>
      </c>
      <c r="C18" s="72"/>
      <c r="D18" s="72"/>
      <c r="E18" s="72"/>
      <c r="F18" s="72"/>
      <c r="G18" s="72"/>
      <c r="H18" s="72"/>
      <c r="I18" s="72"/>
    </row>
    <row r="20" spans="2:9" x14ac:dyDescent="0.25">
      <c r="B20" t="s">
        <v>410</v>
      </c>
      <c r="C20" s="71">
        <v>72.39</v>
      </c>
      <c r="D20" t="s">
        <v>411</v>
      </c>
    </row>
  </sheetData>
  <mergeCells count="9">
    <mergeCell ref="B15:I15"/>
    <mergeCell ref="B16:E16"/>
    <mergeCell ref="B17:E17"/>
    <mergeCell ref="B18:I18"/>
    <mergeCell ref="A1:I1"/>
    <mergeCell ref="A3:I3"/>
    <mergeCell ref="B12:E12"/>
    <mergeCell ref="B13:I13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G17"/>
  <sheetViews>
    <sheetView showGridLines="0" topLeftCell="A7" zoomScale="130" zoomScaleNormal="130" workbookViewId="0">
      <selection activeCell="C16" sqref="C16:G16"/>
    </sheetView>
  </sheetViews>
  <sheetFormatPr defaultColWidth="8.5703125" defaultRowHeight="15" x14ac:dyDescent="0.25"/>
  <cols>
    <col min="1" max="1" width="14" customWidth="1"/>
    <col min="2" max="2" width="38" customWidth="1"/>
    <col min="3" max="3" width="20" customWidth="1"/>
    <col min="4" max="4" width="24" customWidth="1"/>
    <col min="5" max="5" width="28" customWidth="1"/>
    <col min="6" max="6" width="10" customWidth="1"/>
    <col min="7" max="7" width="38" customWidth="1"/>
  </cols>
  <sheetData>
    <row r="1" spans="1:7" ht="27.75" customHeight="1" x14ac:dyDescent="0.25">
      <c r="A1" s="78" t="s">
        <v>36</v>
      </c>
      <c r="B1" s="78"/>
      <c r="C1" s="78"/>
      <c r="D1" s="78"/>
      <c r="E1" s="78"/>
      <c r="F1" s="78"/>
      <c r="G1" s="78"/>
    </row>
    <row r="3" spans="1:7" ht="15" customHeight="1" x14ac:dyDescent="0.25">
      <c r="A3" s="1" t="s">
        <v>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1:7" ht="25.5" x14ac:dyDescent="0.25">
      <c r="A4" s="15" t="s">
        <v>11</v>
      </c>
      <c r="B4" s="16" t="s">
        <v>12</v>
      </c>
      <c r="C4" s="9" t="s">
        <v>43</v>
      </c>
      <c r="D4" s="9" t="s">
        <v>44</v>
      </c>
      <c r="E4" s="10" t="s">
        <v>13</v>
      </c>
      <c r="F4" s="9" t="s">
        <v>45</v>
      </c>
      <c r="G4" s="10"/>
    </row>
    <row r="5" spans="1:7" ht="20.45" customHeight="1" x14ac:dyDescent="0.25">
      <c r="A5" s="17" t="s">
        <v>14</v>
      </c>
      <c r="B5" s="18" t="s">
        <v>15</v>
      </c>
      <c r="C5" s="3" t="s">
        <v>43</v>
      </c>
      <c r="D5" s="3" t="s">
        <v>46</v>
      </c>
      <c r="E5" s="4" t="s">
        <v>47</v>
      </c>
      <c r="F5" s="3" t="s">
        <v>45</v>
      </c>
      <c r="G5" s="4"/>
    </row>
    <row r="6" spans="1:7" ht="23.1" customHeight="1" x14ac:dyDescent="0.25">
      <c r="A6" s="19" t="s">
        <v>17</v>
      </c>
      <c r="B6" s="16" t="s">
        <v>18</v>
      </c>
      <c r="C6" s="9" t="s">
        <v>43</v>
      </c>
      <c r="D6" s="9" t="s">
        <v>44</v>
      </c>
      <c r="E6" s="10" t="s">
        <v>19</v>
      </c>
      <c r="F6" s="9" t="s">
        <v>45</v>
      </c>
      <c r="G6" s="10"/>
    </row>
    <row r="7" spans="1:7" ht="23.1" customHeight="1" x14ac:dyDescent="0.25">
      <c r="A7" s="20" t="s">
        <v>20</v>
      </c>
      <c r="B7" s="18" t="s">
        <v>21</v>
      </c>
      <c r="C7" s="3" t="s">
        <v>48</v>
      </c>
      <c r="D7" s="3" t="s">
        <v>49</v>
      </c>
      <c r="E7" s="4" t="s">
        <v>50</v>
      </c>
      <c r="F7" s="3" t="s">
        <v>45</v>
      </c>
      <c r="G7" s="4"/>
    </row>
    <row r="8" spans="1:7" ht="29.1" customHeight="1" x14ac:dyDescent="0.25">
      <c r="A8" s="21" t="s">
        <v>23</v>
      </c>
      <c r="B8" s="16" t="s">
        <v>24</v>
      </c>
      <c r="C8" s="9" t="s">
        <v>48</v>
      </c>
      <c r="D8" s="9" t="s">
        <v>51</v>
      </c>
      <c r="E8" s="10" t="s">
        <v>52</v>
      </c>
      <c r="F8" s="9" t="s">
        <v>45</v>
      </c>
      <c r="G8" s="10"/>
    </row>
    <row r="9" spans="1:7" ht="24.95" customHeight="1" x14ac:dyDescent="0.25">
      <c r="A9" s="22" t="s">
        <v>26</v>
      </c>
      <c r="B9" s="18" t="s">
        <v>27</v>
      </c>
      <c r="C9" s="3" t="s">
        <v>48</v>
      </c>
      <c r="D9" s="3" t="s">
        <v>46</v>
      </c>
      <c r="E9" s="4" t="s">
        <v>53</v>
      </c>
      <c r="F9" s="3" t="s">
        <v>45</v>
      </c>
      <c r="G9" s="4"/>
    </row>
    <row r="11" spans="1:7" ht="15" customHeight="1" x14ac:dyDescent="0.25">
      <c r="A11" s="79" t="s">
        <v>54</v>
      </c>
      <c r="B11" s="79"/>
      <c r="C11" s="79"/>
      <c r="D11" s="79"/>
      <c r="E11" s="79"/>
      <c r="F11" s="79"/>
      <c r="G11" s="79"/>
    </row>
    <row r="12" spans="1:7" ht="36" customHeight="1" x14ac:dyDescent="0.25">
      <c r="A12" s="9" t="s">
        <v>11</v>
      </c>
      <c r="B12" s="16" t="s">
        <v>12</v>
      </c>
      <c r="C12" s="77" t="s">
        <v>55</v>
      </c>
      <c r="D12" s="77"/>
      <c r="E12" s="77"/>
      <c r="F12" s="77"/>
      <c r="G12" s="77"/>
    </row>
    <row r="13" spans="1:7" ht="36" customHeight="1" x14ac:dyDescent="0.25">
      <c r="A13" s="3" t="s">
        <v>14</v>
      </c>
      <c r="B13" s="18" t="s">
        <v>15</v>
      </c>
      <c r="C13" s="76" t="s">
        <v>56</v>
      </c>
      <c r="D13" s="76"/>
      <c r="E13" s="76"/>
      <c r="F13" s="76"/>
      <c r="G13" s="76"/>
    </row>
    <row r="14" spans="1:7" ht="36" customHeight="1" x14ac:dyDescent="0.25">
      <c r="A14" s="9" t="s">
        <v>17</v>
      </c>
      <c r="B14" s="16" t="s">
        <v>18</v>
      </c>
      <c r="C14" s="77" t="s">
        <v>57</v>
      </c>
      <c r="D14" s="77"/>
      <c r="E14" s="77"/>
      <c r="F14" s="77"/>
      <c r="G14" s="77"/>
    </row>
    <row r="15" spans="1:7" ht="36" customHeight="1" x14ac:dyDescent="0.25">
      <c r="A15" s="3" t="s">
        <v>20</v>
      </c>
      <c r="B15" s="18" t="s">
        <v>21</v>
      </c>
      <c r="C15" s="76" t="s">
        <v>58</v>
      </c>
      <c r="D15" s="76"/>
      <c r="E15" s="76"/>
      <c r="F15" s="76"/>
      <c r="G15" s="76"/>
    </row>
    <row r="16" spans="1:7" ht="36" customHeight="1" x14ac:dyDescent="0.25">
      <c r="A16" s="9" t="s">
        <v>23</v>
      </c>
      <c r="B16" s="16" t="s">
        <v>24</v>
      </c>
      <c r="C16" s="77" t="s">
        <v>59</v>
      </c>
      <c r="D16" s="77"/>
      <c r="E16" s="77"/>
      <c r="F16" s="77"/>
      <c r="G16" s="77"/>
    </row>
    <row r="17" spans="1:7" ht="36" customHeight="1" x14ac:dyDescent="0.25">
      <c r="A17" s="3" t="s">
        <v>26</v>
      </c>
      <c r="B17" s="18" t="s">
        <v>27</v>
      </c>
      <c r="C17" s="76" t="s">
        <v>60</v>
      </c>
      <c r="D17" s="76"/>
      <c r="E17" s="76"/>
      <c r="F17" s="76"/>
      <c r="G17" s="76"/>
    </row>
  </sheetData>
  <mergeCells count="8">
    <mergeCell ref="C15:G15"/>
    <mergeCell ref="C16:G16"/>
    <mergeCell ref="C17:G17"/>
    <mergeCell ref="A1:G1"/>
    <mergeCell ref="A11:G11"/>
    <mergeCell ref="C12:G12"/>
    <mergeCell ref="C13:G13"/>
    <mergeCell ref="C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8F77"/>
  </sheetPr>
  <dimension ref="A1:F11"/>
  <sheetViews>
    <sheetView showGridLines="0" zoomScale="120" zoomScaleNormal="120" workbookViewId="0">
      <selection sqref="A1:F1"/>
    </sheetView>
  </sheetViews>
  <sheetFormatPr defaultColWidth="8.5703125" defaultRowHeight="15" x14ac:dyDescent="0.25"/>
  <cols>
    <col min="1" max="1" width="10" customWidth="1"/>
    <col min="2" max="2" width="22" customWidth="1"/>
    <col min="3" max="3" width="44" customWidth="1"/>
    <col min="4" max="4" width="46" customWidth="1"/>
    <col min="5" max="5" width="18" customWidth="1"/>
    <col min="6" max="6" width="28" customWidth="1"/>
  </cols>
  <sheetData>
    <row r="1" spans="1:6" ht="27.75" customHeight="1" x14ac:dyDescent="0.25">
      <c r="A1" s="78" t="s">
        <v>61</v>
      </c>
      <c r="B1" s="78"/>
      <c r="C1" s="78"/>
      <c r="D1" s="78"/>
      <c r="E1" s="78"/>
      <c r="F1" s="78"/>
    </row>
    <row r="3" spans="1:6" ht="15" customHeight="1" x14ac:dyDescent="0.25">
      <c r="A3" s="1" t="s">
        <v>2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</row>
    <row r="4" spans="1:6" ht="32.1" customHeight="1" x14ac:dyDescent="0.25">
      <c r="A4" s="10" t="s">
        <v>67</v>
      </c>
      <c r="B4" s="10" t="s">
        <v>68</v>
      </c>
      <c r="C4" s="10" t="s">
        <v>69</v>
      </c>
      <c r="D4" s="10" t="s">
        <v>70</v>
      </c>
      <c r="E4" s="10" t="s">
        <v>71</v>
      </c>
    </row>
    <row r="5" spans="1:6" ht="33" customHeight="1" x14ac:dyDescent="0.25">
      <c r="A5" s="4" t="s">
        <v>72</v>
      </c>
      <c r="B5" s="4" t="s">
        <v>73</v>
      </c>
      <c r="C5" s="4" t="s">
        <v>74</v>
      </c>
      <c r="D5" s="4" t="s">
        <v>75</v>
      </c>
      <c r="E5" s="4" t="s">
        <v>76</v>
      </c>
    </row>
    <row r="6" spans="1:6" ht="38.1" customHeight="1" x14ac:dyDescent="0.25">
      <c r="A6" s="10" t="s">
        <v>77</v>
      </c>
      <c r="B6" s="10" t="s">
        <v>78</v>
      </c>
      <c r="C6" s="10" t="s">
        <v>79</v>
      </c>
      <c r="D6" s="10" t="s">
        <v>80</v>
      </c>
      <c r="E6" s="10" t="s">
        <v>81</v>
      </c>
    </row>
    <row r="7" spans="1:6" ht="38.1" customHeight="1" x14ac:dyDescent="0.25">
      <c r="A7" s="4" t="s">
        <v>82</v>
      </c>
      <c r="B7" s="4" t="s">
        <v>83</v>
      </c>
      <c r="C7" s="4" t="s">
        <v>84</v>
      </c>
      <c r="D7" s="4" t="s">
        <v>85</v>
      </c>
      <c r="E7" s="4" t="s">
        <v>86</v>
      </c>
    </row>
    <row r="8" spans="1:6" ht="30.95" customHeight="1" x14ac:dyDescent="0.25">
      <c r="A8" s="10" t="s">
        <v>87</v>
      </c>
      <c r="B8" s="10" t="s">
        <v>88</v>
      </c>
      <c r="C8" s="10" t="s">
        <v>89</v>
      </c>
      <c r="D8" s="10" t="s">
        <v>90</v>
      </c>
      <c r="E8" s="10" t="s">
        <v>91</v>
      </c>
    </row>
    <row r="9" spans="1:6" ht="36.6" customHeight="1" x14ac:dyDescent="0.25">
      <c r="A9" s="4" t="s">
        <v>92</v>
      </c>
      <c r="B9" s="4" t="s">
        <v>93</v>
      </c>
      <c r="C9" s="4" t="s">
        <v>94</v>
      </c>
      <c r="D9" s="4" t="s">
        <v>95</v>
      </c>
      <c r="E9" s="4" t="s">
        <v>86</v>
      </c>
    </row>
    <row r="10" spans="1:6" ht="29.45" customHeight="1" x14ac:dyDescent="0.25">
      <c r="A10" s="10" t="s">
        <v>96</v>
      </c>
      <c r="B10" s="10" t="s">
        <v>97</v>
      </c>
      <c r="C10" s="10" t="s">
        <v>98</v>
      </c>
      <c r="D10" s="10" t="s">
        <v>99</v>
      </c>
      <c r="E10" s="10" t="s">
        <v>100</v>
      </c>
    </row>
    <row r="11" spans="1:6" ht="28.5" customHeight="1" x14ac:dyDescent="0.25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J12"/>
  <sheetViews>
    <sheetView showGridLines="0" zoomScale="120" zoomScaleNormal="120" workbookViewId="0">
      <selection activeCell="A2" sqref="A2:J2"/>
    </sheetView>
  </sheetViews>
  <sheetFormatPr defaultColWidth="8.5703125" defaultRowHeight="15" x14ac:dyDescent="0.25"/>
  <cols>
    <col min="1" max="1" width="12" customWidth="1"/>
    <col min="2" max="2" width="34" customWidth="1"/>
    <col min="3" max="5" width="16" customWidth="1"/>
    <col min="6" max="8" width="14" customWidth="1"/>
    <col min="9" max="10" width="16" customWidth="1"/>
  </cols>
  <sheetData>
    <row r="1" spans="1:10" ht="27.75" customHeight="1" x14ac:dyDescent="0.25">
      <c r="A1" s="78" t="s">
        <v>106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15" customHeight="1" x14ac:dyDescent="0.25">
      <c r="A2" s="80" t="s">
        <v>107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15" customHeight="1" x14ac:dyDescent="0.25">
      <c r="A3" s="81" t="s">
        <v>108</v>
      </c>
      <c r="B3" s="81"/>
      <c r="C3" s="23">
        <v>2025</v>
      </c>
    </row>
    <row r="5" spans="1:10" ht="36" customHeight="1" x14ac:dyDescent="0.25">
      <c r="A5" s="1" t="s">
        <v>2</v>
      </c>
      <c r="B5" s="1" t="s">
        <v>3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</row>
    <row r="6" spans="1:10" ht="20.100000000000001" customHeight="1" x14ac:dyDescent="0.25">
      <c r="A6" s="24" t="s">
        <v>11</v>
      </c>
      <c r="B6" s="16" t="s">
        <v>12</v>
      </c>
      <c r="C6" s="25">
        <f>SUMPRODUCT(('📝 Unit Costs'!$A$6:$A$489=A6)*('📝 Unit Costs'!$C$6:$C$489="PROC")*('📝 Unit Costs'!$E$6:$E$489=$C$3)*'📝 Unit Costs'!$K$6:$K$489)</f>
        <v>0</v>
      </c>
      <c r="D6" s="25">
        <f>SUMPRODUCT(('📝 Unit Costs'!$A$6:$A$489=A6)*('📝 Unit Costs'!$C$6:$C$489="DIST")*('📝 Unit Costs'!$E$6:$E$489=$C$3)*'📝 Unit Costs'!$K$6:$K$489)</f>
        <v>0</v>
      </c>
      <c r="E6" s="25">
        <f>SUMPRODUCT(('📝 Unit Costs'!$A$6:$A$489=A6)*('📝 Unit Costs'!$C$6:$C$489="OPS")*('📝 Unit Costs'!$E$6:$E$489=$C$3)*'📝 Unit Costs'!$K$6:$K$489)</f>
        <v>0</v>
      </c>
      <c r="F6" s="25">
        <f>SUMPRODUCT(('📝 Unit Costs'!$A$6:$A$489=A6)*('📝 Unit Costs'!$C$6:$C$489="SUPP")*('📝 Unit Costs'!$E$6:$E$489=$C$3)*'📝 Unit Costs'!$K$6:$K$489)</f>
        <v>0</v>
      </c>
      <c r="G6" s="25">
        <f>SUMPRODUCT(('📝 Unit Costs'!$A$6:$A$489=A6)*('📝 Unit Costs'!$C$6:$C$489="M&amp;E")*('📝 Unit Costs'!$E$6:$E$489=$C$3)*'📝 Unit Costs'!$K$6:$K$489)</f>
        <v>0</v>
      </c>
      <c r="H6" s="25">
        <f>SUMPRODUCT(('📝 Unit Costs'!$A$6:$A$489=A6)*('📝 Unit Costs'!$C$6:$C$489="OTHER")*('📝 Unit Costs'!$E$6:$E$489=$C$3)*'📝 Unit Costs'!$K$6:$K$489)</f>
        <v>0</v>
      </c>
      <c r="I6" s="26">
        <f t="shared" ref="I6:I11" si="0">SUM(C6:H6)</f>
        <v>0</v>
      </c>
      <c r="J6" s="27">
        <f>SUMPRODUCT(('📝 Unit Costs'!$A$6:$A$489=A6)*('📝 Unit Costs'!$E$6:$E$489=$C$3)*'📝 Unit Costs'!$G$6:$G$489)</f>
        <v>7.9399999999999995</v>
      </c>
    </row>
    <row r="7" spans="1:10" ht="17.45" customHeight="1" x14ac:dyDescent="0.25">
      <c r="A7" s="28" t="s">
        <v>14</v>
      </c>
      <c r="B7" s="18" t="s">
        <v>15</v>
      </c>
      <c r="C7" s="29">
        <f>SUMPRODUCT(('📝 Unit Costs'!$A$6:$A$489=A7)*('📝 Unit Costs'!$C$6:$C$489="PROC")*('📝 Unit Costs'!$E$6:$E$489=$C$3)*'📝 Unit Costs'!$K$6:$K$489)</f>
        <v>0</v>
      </c>
      <c r="D7" s="29">
        <f>SUMPRODUCT(('📝 Unit Costs'!$A$6:$A$489=A7)*('📝 Unit Costs'!$C$6:$C$489="DIST")*('📝 Unit Costs'!$E$6:$E$489=$C$3)*'📝 Unit Costs'!$K$6:$K$489)</f>
        <v>0</v>
      </c>
      <c r="E7" s="29">
        <f>SUMPRODUCT(('📝 Unit Costs'!$A$6:$A$489=A7)*('📝 Unit Costs'!$C$6:$C$489="OPS")*('📝 Unit Costs'!$E$6:$E$489=$C$3)*'📝 Unit Costs'!$K$6:$K$489)</f>
        <v>0</v>
      </c>
      <c r="F7" s="29">
        <f>SUMPRODUCT(('📝 Unit Costs'!$A$6:$A$489=A7)*('📝 Unit Costs'!$C$6:$C$489="SUPP")*('📝 Unit Costs'!$E$6:$E$489=$C$3)*'📝 Unit Costs'!$K$6:$K$489)</f>
        <v>0</v>
      </c>
      <c r="G7" s="29">
        <f>SUMPRODUCT(('📝 Unit Costs'!$A$6:$A$489=A7)*('📝 Unit Costs'!$C$6:$C$489="M&amp;E")*('📝 Unit Costs'!$E$6:$E$489=$C$3)*'📝 Unit Costs'!$K$6:$K$489)</f>
        <v>0</v>
      </c>
      <c r="H7" s="29">
        <f>SUMPRODUCT(('📝 Unit Costs'!$A$6:$A$489=A7)*('📝 Unit Costs'!$C$6:$C$489="OTHER")*('📝 Unit Costs'!$E$6:$E$489=$C$3)*'📝 Unit Costs'!$K$6:$K$489)</f>
        <v>0</v>
      </c>
      <c r="I7" s="30">
        <f t="shared" si="0"/>
        <v>0</v>
      </c>
      <c r="J7" s="31">
        <f>SUMPRODUCT(('📝 Unit Costs'!$A$6:$A$489=A7)*('📝 Unit Costs'!$E$6:$E$489=$C$3)*'📝 Unit Costs'!$G$6:$G$489)</f>
        <v>4.8900000000000006</v>
      </c>
    </row>
    <row r="8" spans="1:10" ht="23.1" customHeight="1" x14ac:dyDescent="0.25">
      <c r="A8" s="24" t="s">
        <v>17</v>
      </c>
      <c r="B8" s="16" t="s">
        <v>18</v>
      </c>
      <c r="C8" s="25">
        <f>SUMPRODUCT(('📝 Unit Costs'!$A$6:$A$489=A8)*('📝 Unit Costs'!$C$6:$C$489="PROC")*('📝 Unit Costs'!$E$6:$E$489=$C$3)*'📝 Unit Costs'!$K$6:$K$489)</f>
        <v>0</v>
      </c>
      <c r="D8" s="25">
        <f>SUMPRODUCT(('📝 Unit Costs'!$A$6:$A$489=A8)*('📝 Unit Costs'!$C$6:$C$489="DIST")*('📝 Unit Costs'!$E$6:$E$489=$C$3)*'📝 Unit Costs'!$K$6:$K$489)</f>
        <v>0</v>
      </c>
      <c r="E8" s="25">
        <f>SUMPRODUCT(('📝 Unit Costs'!$A$6:$A$489=A8)*('📝 Unit Costs'!$C$6:$C$489="OPS")*('📝 Unit Costs'!$E$6:$E$489=$C$3)*'📝 Unit Costs'!$K$6:$K$489)</f>
        <v>0</v>
      </c>
      <c r="F8" s="25">
        <f>SUMPRODUCT(('📝 Unit Costs'!$A$6:$A$489=A8)*('📝 Unit Costs'!$C$6:$C$489="SUPP")*('📝 Unit Costs'!$E$6:$E$489=$C$3)*'📝 Unit Costs'!$K$6:$K$489)</f>
        <v>0</v>
      </c>
      <c r="G8" s="25">
        <f>SUMPRODUCT(('📝 Unit Costs'!$A$6:$A$489=A8)*('📝 Unit Costs'!$C$6:$C$489="M&amp;E")*('📝 Unit Costs'!$E$6:$E$489=$C$3)*'📝 Unit Costs'!$K$6:$K$489)</f>
        <v>0</v>
      </c>
      <c r="H8" s="25">
        <f>SUMPRODUCT(('📝 Unit Costs'!$A$6:$A$489=A8)*('📝 Unit Costs'!$C$6:$C$489="OTHER")*('📝 Unit Costs'!$E$6:$E$489=$C$3)*'📝 Unit Costs'!$K$6:$K$489)</f>
        <v>0</v>
      </c>
      <c r="I8" s="26">
        <f t="shared" si="0"/>
        <v>0</v>
      </c>
      <c r="J8" s="27">
        <f>SUMPRODUCT(('📝 Unit Costs'!$A$6:$A$489=A8)*('📝 Unit Costs'!$E$6:$E$489=$C$3)*'📝 Unit Costs'!$G$6:$G$489)</f>
        <v>23.029999999999998</v>
      </c>
    </row>
    <row r="9" spans="1:10" ht="24.6" customHeight="1" x14ac:dyDescent="0.25">
      <c r="A9" s="28" t="s">
        <v>20</v>
      </c>
      <c r="B9" s="18" t="s">
        <v>21</v>
      </c>
      <c r="C9" s="29">
        <f>SUMPRODUCT(('📝 Unit Costs'!$A$6:$A$489=A9)*('📝 Unit Costs'!$C$6:$C$489="PROC")*('📝 Unit Costs'!$E$6:$E$489=$C$3)*'📝 Unit Costs'!$K$6:$K$489)</f>
        <v>0</v>
      </c>
      <c r="D9" s="29">
        <f>SUMPRODUCT(('📝 Unit Costs'!$A$6:$A$489=A9)*('📝 Unit Costs'!$C$6:$C$489="DIST")*('📝 Unit Costs'!$E$6:$E$489=$C$3)*'📝 Unit Costs'!$K$6:$K$489)</f>
        <v>0</v>
      </c>
      <c r="E9" s="29">
        <f>SUMPRODUCT(('📝 Unit Costs'!$A$6:$A$489=A9)*('📝 Unit Costs'!$C$6:$C$489="OPS")*('📝 Unit Costs'!$E$6:$E$489=$C$3)*'📝 Unit Costs'!$K$6:$K$489)</f>
        <v>0</v>
      </c>
      <c r="F9" s="29">
        <f>SUMPRODUCT(('📝 Unit Costs'!$A$6:$A$489=A9)*('📝 Unit Costs'!$C$6:$C$489="SUPP")*('📝 Unit Costs'!$E$6:$E$489=$C$3)*'📝 Unit Costs'!$K$6:$K$489)</f>
        <v>0</v>
      </c>
      <c r="G9" s="29">
        <f>SUMPRODUCT(('📝 Unit Costs'!$A$6:$A$489=A9)*('📝 Unit Costs'!$C$6:$C$489="M&amp;E")*('📝 Unit Costs'!$E$6:$E$489=$C$3)*'📝 Unit Costs'!$K$6:$K$489)</f>
        <v>0</v>
      </c>
      <c r="H9" s="29">
        <f>SUMPRODUCT(('📝 Unit Costs'!$A$6:$A$489=A9)*('📝 Unit Costs'!$C$6:$C$489="OTHER")*('📝 Unit Costs'!$E$6:$E$489=$C$3)*'📝 Unit Costs'!$K$6:$K$489)</f>
        <v>0</v>
      </c>
      <c r="I9" s="30">
        <f t="shared" si="0"/>
        <v>0</v>
      </c>
      <c r="J9" s="31">
        <f>SUMPRODUCT(('📝 Unit Costs'!$A$6:$A$489=A9)*('📝 Unit Costs'!$E$6:$E$489=$C$3)*'📝 Unit Costs'!$G$6:$G$489)</f>
        <v>1.8100000000000003</v>
      </c>
    </row>
    <row r="10" spans="1:10" ht="35.450000000000003" customHeight="1" x14ac:dyDescent="0.25">
      <c r="A10" s="24" t="s">
        <v>23</v>
      </c>
      <c r="B10" s="16" t="s">
        <v>24</v>
      </c>
      <c r="C10" s="25">
        <f>SUMPRODUCT(('📝 Unit Costs'!$A$6:$A$489=A10)*('📝 Unit Costs'!$C$6:$C$489="PROC")*('📝 Unit Costs'!$E$6:$E$489=$C$3)*'📝 Unit Costs'!$K$6:$K$489)</f>
        <v>0</v>
      </c>
      <c r="D10" s="25">
        <f>SUMPRODUCT(('📝 Unit Costs'!$A$6:$A$489=A10)*('📝 Unit Costs'!$C$6:$C$489="DIST")*('📝 Unit Costs'!$E$6:$E$489=$C$3)*'📝 Unit Costs'!$K$6:$K$489)</f>
        <v>0</v>
      </c>
      <c r="E10" s="25">
        <f>SUMPRODUCT(('📝 Unit Costs'!$A$6:$A$489=A10)*('📝 Unit Costs'!$C$6:$C$489="OPS")*('📝 Unit Costs'!$E$6:$E$489=$C$3)*'📝 Unit Costs'!$K$6:$K$489)</f>
        <v>0</v>
      </c>
      <c r="F10" s="25">
        <f>SUMPRODUCT(('📝 Unit Costs'!$A$6:$A$489=A10)*('📝 Unit Costs'!$C$6:$C$489="SUPP")*('📝 Unit Costs'!$E$6:$E$489=$C$3)*'📝 Unit Costs'!$K$6:$K$489)</f>
        <v>0</v>
      </c>
      <c r="G10" s="25">
        <f>SUMPRODUCT(('📝 Unit Costs'!$A$6:$A$489=A10)*('📝 Unit Costs'!$C$6:$C$489="M&amp;E")*('📝 Unit Costs'!$E$6:$E$489=$C$3)*'📝 Unit Costs'!$K$6:$K$489)</f>
        <v>0</v>
      </c>
      <c r="H10" s="25">
        <f>SUMPRODUCT(('📝 Unit Costs'!$A$6:$A$489=A10)*('📝 Unit Costs'!$C$6:$C$489="OTHER")*('📝 Unit Costs'!$E$6:$E$489=$C$3)*'📝 Unit Costs'!$K$6:$K$489)</f>
        <v>0</v>
      </c>
      <c r="I10" s="26">
        <f t="shared" si="0"/>
        <v>0</v>
      </c>
      <c r="J10" s="27">
        <f>SUMPRODUCT(('📝 Unit Costs'!$A$6:$A$489=A10)*('📝 Unit Costs'!$E$6:$E$489=$C$3)*'📝 Unit Costs'!$G$6:$G$489)</f>
        <v>3.2</v>
      </c>
    </row>
    <row r="11" spans="1:10" ht="27" customHeight="1" x14ac:dyDescent="0.25">
      <c r="A11" s="28" t="s">
        <v>26</v>
      </c>
      <c r="B11" s="18" t="s">
        <v>27</v>
      </c>
      <c r="C11" s="29">
        <f>SUMPRODUCT(('📝 Unit Costs'!$A$6:$A$489=A11)*('📝 Unit Costs'!$C$6:$C$489="PROC")*('📝 Unit Costs'!$E$6:$E$489=$C$3)*'📝 Unit Costs'!$K$6:$K$489)</f>
        <v>0</v>
      </c>
      <c r="D11" s="29">
        <f>SUMPRODUCT(('📝 Unit Costs'!$A$6:$A$489=A11)*('📝 Unit Costs'!$C$6:$C$489="DIST")*('📝 Unit Costs'!$E$6:$E$489=$C$3)*'📝 Unit Costs'!$K$6:$K$489)</f>
        <v>0</v>
      </c>
      <c r="E11" s="29">
        <f>SUMPRODUCT(('📝 Unit Costs'!$A$6:$A$489=A11)*('📝 Unit Costs'!$C$6:$C$489="OPS")*('📝 Unit Costs'!$E$6:$E$489=$C$3)*'📝 Unit Costs'!$K$6:$K$489)</f>
        <v>0</v>
      </c>
      <c r="F11" s="29">
        <f>SUMPRODUCT(('📝 Unit Costs'!$A$6:$A$489=A11)*('📝 Unit Costs'!$C$6:$C$489="SUPP")*('📝 Unit Costs'!$E$6:$E$489=$C$3)*'📝 Unit Costs'!$K$6:$K$489)</f>
        <v>0</v>
      </c>
      <c r="G11" s="29">
        <f>SUMPRODUCT(('📝 Unit Costs'!$A$6:$A$489=A11)*('📝 Unit Costs'!$C$6:$C$489="M&amp;E")*('📝 Unit Costs'!$E$6:$E$489=$C$3)*'📝 Unit Costs'!$K$6:$K$489)</f>
        <v>0</v>
      </c>
      <c r="H11" s="29">
        <f>SUMPRODUCT(('📝 Unit Costs'!$A$6:$A$489=A11)*('📝 Unit Costs'!$C$6:$C$489="OTHER")*('📝 Unit Costs'!$E$6:$E$489=$C$3)*'📝 Unit Costs'!$K$6:$K$489)</f>
        <v>0</v>
      </c>
      <c r="I11" s="30">
        <f t="shared" si="0"/>
        <v>0</v>
      </c>
      <c r="J11" s="31">
        <f>SUMPRODUCT(('📝 Unit Costs'!$A$6:$A$489=A11)*('📝 Unit Costs'!$E$6:$E$489=$C$3)*'📝 Unit Costs'!$G$6:$G$489)</f>
        <v>9.5</v>
      </c>
    </row>
    <row r="12" spans="1:10" ht="15" customHeight="1" x14ac:dyDescent="0.25">
      <c r="A12" s="82" t="s">
        <v>117</v>
      </c>
      <c r="B12" s="82"/>
      <c r="C12" s="32">
        <f t="shared" ref="C12:I12" si="1">SUM(C6:C11)</f>
        <v>0</v>
      </c>
      <c r="D12" s="32">
        <f t="shared" si="1"/>
        <v>0</v>
      </c>
      <c r="E12" s="32">
        <f t="shared" si="1"/>
        <v>0</v>
      </c>
      <c r="F12" s="32">
        <f t="shared" si="1"/>
        <v>0</v>
      </c>
      <c r="G12" s="32">
        <f t="shared" si="1"/>
        <v>0</v>
      </c>
      <c r="H12" s="32">
        <f t="shared" si="1"/>
        <v>0</v>
      </c>
      <c r="I12" s="32">
        <f t="shared" si="1"/>
        <v>0</v>
      </c>
    </row>
  </sheetData>
  <mergeCells count="4">
    <mergeCell ref="A1:J1"/>
    <mergeCell ref="A2:J2"/>
    <mergeCell ref="A3:B3"/>
    <mergeCell ref="A12:B12"/>
  </mergeCells>
  <conditionalFormatting sqref="I6:I11">
    <cfRule type="colorScale" priority="2">
      <colorScale>
        <cfvo type="min"/>
        <cfvo type="max"/>
        <color rgb="FFFFFFFF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M78"/>
  <sheetViews>
    <sheetView showGridLines="0" tabSelected="1" zoomScale="120" zoomScaleNormal="120" workbookViewId="0">
      <pane ySplit="5" topLeftCell="A61" activePane="bottomLeft" state="frozen"/>
      <selection pane="bottomLeft" activeCell="D77" sqref="D77"/>
    </sheetView>
  </sheetViews>
  <sheetFormatPr defaultColWidth="8.5703125" defaultRowHeight="15" x14ac:dyDescent="0.25"/>
  <cols>
    <col min="1" max="1" width="12" customWidth="1"/>
    <col min="2" max="2" width="30" customWidth="1"/>
    <col min="3" max="3" width="12" customWidth="1"/>
    <col min="4" max="4" width="38" customWidth="1"/>
    <col min="5" max="5" width="7" customWidth="1"/>
    <col min="6" max="6" width="18" customWidth="1"/>
    <col min="7" max="7" width="12" customWidth="1"/>
    <col min="8" max="8" width="28" customWidth="1"/>
    <col min="9" max="9" width="22" customWidth="1"/>
    <col min="10" max="11" width="13" customWidth="1"/>
    <col min="12" max="12" width="11" customWidth="1"/>
    <col min="13" max="13" width="12" customWidth="1"/>
  </cols>
  <sheetData>
    <row r="1" spans="1:13" ht="27.75" customHeight="1" x14ac:dyDescent="0.25">
      <c r="A1" s="74" t="s">
        <v>118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5" customHeight="1" x14ac:dyDescent="0.25">
      <c r="A2" s="80" t="s">
        <v>119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15" customHeight="1" x14ac:dyDescent="0.25">
      <c r="A3" s="89" t="s">
        <v>120</v>
      </c>
      <c r="B3" s="89"/>
      <c r="C3" s="89"/>
      <c r="D3" s="89"/>
      <c r="E3" s="89"/>
      <c r="F3" s="90" t="s">
        <v>121</v>
      </c>
      <c r="G3" s="90"/>
      <c r="H3" s="91" t="s">
        <v>122</v>
      </c>
      <c r="I3" s="91"/>
      <c r="J3" s="75" t="s">
        <v>123</v>
      </c>
      <c r="K3" s="75"/>
      <c r="L3" s="75"/>
      <c r="M3" s="33" t="s">
        <v>124</v>
      </c>
    </row>
    <row r="4" spans="1:13" ht="33.75" customHeight="1" x14ac:dyDescent="0.25">
      <c r="A4" s="34" t="s">
        <v>125</v>
      </c>
      <c r="B4" s="34" t="s">
        <v>126</v>
      </c>
      <c r="C4" s="34" t="s">
        <v>127</v>
      </c>
      <c r="D4" s="34" t="s">
        <v>128</v>
      </c>
      <c r="E4" s="34" t="s">
        <v>10</v>
      </c>
      <c r="F4" s="35" t="s">
        <v>129</v>
      </c>
      <c r="G4" s="35" t="s">
        <v>130</v>
      </c>
      <c r="H4" s="36" t="s">
        <v>131</v>
      </c>
      <c r="I4" s="36" t="s">
        <v>66</v>
      </c>
      <c r="J4" s="37" t="s">
        <v>132</v>
      </c>
      <c r="K4" s="37" t="s">
        <v>133</v>
      </c>
      <c r="L4" s="37" t="s">
        <v>134</v>
      </c>
      <c r="M4" s="38" t="s">
        <v>135</v>
      </c>
    </row>
    <row r="5" spans="1:13" ht="27.75" customHeight="1" x14ac:dyDescent="0.25">
      <c r="A5" s="39" t="s">
        <v>2</v>
      </c>
      <c r="B5" s="39" t="s">
        <v>136</v>
      </c>
      <c r="C5" s="39" t="s">
        <v>137</v>
      </c>
      <c r="D5" s="39" t="s">
        <v>138</v>
      </c>
      <c r="E5" s="39" t="s">
        <v>139</v>
      </c>
      <c r="F5" s="39" t="s">
        <v>140</v>
      </c>
      <c r="G5" s="39" t="s">
        <v>141</v>
      </c>
      <c r="H5" s="39" t="s">
        <v>142</v>
      </c>
      <c r="I5" s="39" t="s">
        <v>143</v>
      </c>
      <c r="J5" s="39" t="s">
        <v>144</v>
      </c>
      <c r="K5" s="39" t="s">
        <v>145</v>
      </c>
      <c r="L5" s="39" t="s">
        <v>146</v>
      </c>
      <c r="M5" s="39" t="s">
        <v>147</v>
      </c>
    </row>
    <row r="6" spans="1:13" ht="19.5" customHeight="1" x14ac:dyDescent="0.25">
      <c r="A6" s="84" t="s">
        <v>148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spans="1:13" ht="23.45" customHeight="1" x14ac:dyDescent="0.25">
      <c r="A7" s="40" t="s">
        <v>11</v>
      </c>
      <c r="B7" s="41" t="str">
        <f>IFERROR(VLOOKUP(A7,'🗂 Interventions'!$A$4:$B$9,2,0),"")</f>
        <v>Mass ITN campaigns</v>
      </c>
      <c r="C7" s="42" t="s">
        <v>67</v>
      </c>
      <c r="D7" s="4" t="s">
        <v>149</v>
      </c>
      <c r="E7" s="8">
        <v>2025</v>
      </c>
      <c r="F7" s="42" t="s">
        <v>150</v>
      </c>
      <c r="G7" s="43">
        <v>1.72</v>
      </c>
      <c r="H7" s="68" t="s">
        <v>151</v>
      </c>
      <c r="I7" s="45"/>
      <c r="J7" s="5"/>
      <c r="K7" s="7">
        <f t="shared" ref="K7:K22" si="0">IFERROR(G7*J7,"")</f>
        <v>0</v>
      </c>
      <c r="L7" s="46" t="str">
        <f t="shared" ref="L7:L22" si="1">IFERROR(K7/SUMIF($A$6:$A$489,A7,$K$6:$K$489),"")</f>
        <v/>
      </c>
      <c r="M7" s="42">
        <v>3</v>
      </c>
    </row>
    <row r="8" spans="1:13" ht="25.5" x14ac:dyDescent="0.25">
      <c r="A8" s="40" t="s">
        <v>11</v>
      </c>
      <c r="B8" s="47" t="str">
        <f>IFERROR(VLOOKUP(A8,'🗂 Interventions'!$A$4:$B$9,2,0),"")</f>
        <v>Mass ITN campaigns</v>
      </c>
      <c r="C8" s="42" t="s">
        <v>67</v>
      </c>
      <c r="D8" s="10" t="s">
        <v>152</v>
      </c>
      <c r="E8" s="8">
        <v>2025</v>
      </c>
      <c r="F8" s="42" t="s">
        <v>150</v>
      </c>
      <c r="G8" s="43">
        <v>1.92</v>
      </c>
      <c r="H8" s="44" t="s">
        <v>151</v>
      </c>
      <c r="I8" s="45"/>
      <c r="J8" s="5"/>
      <c r="K8" s="11">
        <f t="shared" si="0"/>
        <v>0</v>
      </c>
      <c r="L8" s="48" t="str">
        <f t="shared" si="1"/>
        <v/>
      </c>
      <c r="M8" s="42">
        <v>3</v>
      </c>
    </row>
    <row r="9" spans="1:13" ht="25.5" x14ac:dyDescent="0.25">
      <c r="A9" s="40" t="s">
        <v>11</v>
      </c>
      <c r="B9" s="41" t="str">
        <f>IFERROR(VLOOKUP(A9,'🗂 Interventions'!$A$4:$B$9,2,0),"")</f>
        <v>Mass ITN campaigns</v>
      </c>
      <c r="C9" s="42" t="s">
        <v>67</v>
      </c>
      <c r="D9" s="4" t="s">
        <v>153</v>
      </c>
      <c r="E9" s="8">
        <v>2025</v>
      </c>
      <c r="F9" s="42" t="s">
        <v>150</v>
      </c>
      <c r="G9" s="43">
        <v>2.35</v>
      </c>
      <c r="H9" s="44" t="s">
        <v>151</v>
      </c>
      <c r="I9" s="45"/>
      <c r="J9" s="5"/>
      <c r="K9" s="7">
        <f t="shared" si="0"/>
        <v>0</v>
      </c>
      <c r="L9" s="46" t="str">
        <f t="shared" si="1"/>
        <v/>
      </c>
      <c r="M9" s="42">
        <v>3</v>
      </c>
    </row>
    <row r="10" spans="1:13" ht="24" x14ac:dyDescent="0.25">
      <c r="A10" s="40" t="s">
        <v>11</v>
      </c>
      <c r="B10" s="47" t="str">
        <f>IFERROR(VLOOKUP(A10,'🗂 Interventions'!$A$4:$B$9,2,0),"")</f>
        <v>Mass ITN campaigns</v>
      </c>
      <c r="C10" s="42" t="s">
        <v>67</v>
      </c>
      <c r="D10" s="10" t="s">
        <v>154</v>
      </c>
      <c r="E10" s="8">
        <v>2025</v>
      </c>
      <c r="F10" s="42" t="s">
        <v>150</v>
      </c>
      <c r="G10" s="43">
        <v>0.08</v>
      </c>
      <c r="H10" s="44" t="s">
        <v>155</v>
      </c>
      <c r="I10" s="45"/>
      <c r="J10" s="5"/>
      <c r="K10" s="11">
        <f t="shared" si="0"/>
        <v>0</v>
      </c>
      <c r="L10" s="48" t="str">
        <f t="shared" si="1"/>
        <v/>
      </c>
      <c r="M10" s="42">
        <v>1</v>
      </c>
    </row>
    <row r="11" spans="1:13" ht="24" x14ac:dyDescent="0.25">
      <c r="A11" s="40" t="s">
        <v>11</v>
      </c>
      <c r="B11" s="41" t="str">
        <f>IFERROR(VLOOKUP(A11,'🗂 Interventions'!$A$4:$B$9,2,0),"")</f>
        <v>Mass ITN campaigns</v>
      </c>
      <c r="C11" s="42" t="s">
        <v>72</v>
      </c>
      <c r="D11" s="4" t="s">
        <v>156</v>
      </c>
      <c r="E11" s="8">
        <v>2025</v>
      </c>
      <c r="F11" s="42" t="s">
        <v>150</v>
      </c>
      <c r="G11" s="43">
        <v>0.2</v>
      </c>
      <c r="H11" s="44" t="s">
        <v>157</v>
      </c>
      <c r="I11" s="45"/>
      <c r="J11" s="5"/>
      <c r="K11" s="7">
        <f t="shared" si="0"/>
        <v>0</v>
      </c>
      <c r="L11" s="46" t="str">
        <f t="shared" si="1"/>
        <v/>
      </c>
      <c r="M11" s="42">
        <v>2</v>
      </c>
    </row>
    <row r="12" spans="1:13" ht="24" x14ac:dyDescent="0.25">
      <c r="A12" s="40" t="s">
        <v>11</v>
      </c>
      <c r="B12" s="47" t="str">
        <f>IFERROR(VLOOKUP(A12,'🗂 Interventions'!$A$4:$B$9,2,0),"")</f>
        <v>Mass ITN campaigns</v>
      </c>
      <c r="C12" s="42" t="s">
        <v>72</v>
      </c>
      <c r="D12" s="10" t="s">
        <v>158</v>
      </c>
      <c r="E12" s="8">
        <v>2025</v>
      </c>
      <c r="F12" s="42" t="s">
        <v>150</v>
      </c>
      <c r="G12" s="43">
        <v>0.18</v>
      </c>
      <c r="H12" s="44" t="s">
        <v>159</v>
      </c>
      <c r="I12" s="45"/>
      <c r="J12" s="5"/>
      <c r="K12" s="11">
        <f t="shared" si="0"/>
        <v>0</v>
      </c>
      <c r="L12" s="48" t="str">
        <f t="shared" si="1"/>
        <v/>
      </c>
      <c r="M12" s="42">
        <v>2</v>
      </c>
    </row>
    <row r="13" spans="1:13" ht="24" x14ac:dyDescent="0.25">
      <c r="A13" s="40" t="s">
        <v>11</v>
      </c>
      <c r="B13" s="41" t="str">
        <f>IFERROR(VLOOKUP(A13,'🗂 Interventions'!$A$4:$B$9,2,0),"")</f>
        <v>Mass ITN campaigns</v>
      </c>
      <c r="C13" s="42" t="s">
        <v>72</v>
      </c>
      <c r="D13" s="4" t="s">
        <v>160</v>
      </c>
      <c r="E13" s="8">
        <v>2025</v>
      </c>
      <c r="F13" s="42" t="s">
        <v>150</v>
      </c>
      <c r="G13" s="43">
        <v>0.22</v>
      </c>
      <c r="H13" s="44" t="s">
        <v>159</v>
      </c>
      <c r="I13" s="45"/>
      <c r="J13" s="5"/>
      <c r="K13" s="7">
        <f t="shared" si="0"/>
        <v>0</v>
      </c>
      <c r="L13" s="46" t="str">
        <f t="shared" si="1"/>
        <v/>
      </c>
      <c r="M13" s="42">
        <v>2</v>
      </c>
    </row>
    <row r="14" spans="1:13" ht="25.5" x14ac:dyDescent="0.25">
      <c r="A14" s="40" t="s">
        <v>11</v>
      </c>
      <c r="B14" s="47" t="str">
        <f>IFERROR(VLOOKUP(A14,'🗂 Interventions'!$A$4:$B$9,2,0),"")</f>
        <v>Mass ITN campaigns</v>
      </c>
      <c r="C14" s="42" t="s">
        <v>72</v>
      </c>
      <c r="D14" s="10" t="s">
        <v>161</v>
      </c>
      <c r="E14" s="8">
        <v>2025</v>
      </c>
      <c r="F14" s="42" t="s">
        <v>150</v>
      </c>
      <c r="G14" s="43">
        <v>0.35</v>
      </c>
      <c r="H14" s="44" t="s">
        <v>162</v>
      </c>
      <c r="I14" s="45"/>
      <c r="J14" s="5"/>
      <c r="K14" s="11">
        <f t="shared" si="0"/>
        <v>0</v>
      </c>
      <c r="L14" s="48" t="str">
        <f t="shared" si="1"/>
        <v/>
      </c>
      <c r="M14" s="42">
        <v>2</v>
      </c>
    </row>
    <row r="15" spans="1:13" ht="25.5" x14ac:dyDescent="0.25">
      <c r="A15" s="40" t="s">
        <v>11</v>
      </c>
      <c r="B15" s="41" t="str">
        <f>IFERROR(VLOOKUP(A15,'🗂 Interventions'!$A$4:$B$9,2,0),"")</f>
        <v>Mass ITN campaigns</v>
      </c>
      <c r="C15" s="42" t="s">
        <v>77</v>
      </c>
      <c r="D15" s="4" t="s">
        <v>163</v>
      </c>
      <c r="E15" s="8">
        <v>2025</v>
      </c>
      <c r="F15" s="42" t="s">
        <v>150</v>
      </c>
      <c r="G15" s="43">
        <v>0.14000000000000001</v>
      </c>
      <c r="H15" s="44" t="s">
        <v>164</v>
      </c>
      <c r="I15" s="45"/>
      <c r="J15" s="5"/>
      <c r="K15" s="7">
        <f t="shared" si="0"/>
        <v>0</v>
      </c>
      <c r="L15" s="46" t="str">
        <f t="shared" si="1"/>
        <v/>
      </c>
      <c r="M15" s="42">
        <v>2</v>
      </c>
    </row>
    <row r="16" spans="1:13" ht="25.5" x14ac:dyDescent="0.25">
      <c r="A16" s="40" t="s">
        <v>11</v>
      </c>
      <c r="B16" s="47" t="str">
        <f>IFERROR(VLOOKUP(A16,'🗂 Interventions'!$A$4:$B$9,2,0),"")</f>
        <v>Mass ITN campaigns</v>
      </c>
      <c r="C16" s="42" t="s">
        <v>77</v>
      </c>
      <c r="D16" s="10" t="s">
        <v>165</v>
      </c>
      <c r="E16" s="8">
        <v>2025</v>
      </c>
      <c r="F16" s="42" t="s">
        <v>150</v>
      </c>
      <c r="G16" s="43">
        <v>0.18</v>
      </c>
      <c r="H16" s="44" t="s">
        <v>164</v>
      </c>
      <c r="I16" s="45"/>
      <c r="J16" s="5"/>
      <c r="K16" s="11">
        <f t="shared" si="0"/>
        <v>0</v>
      </c>
      <c r="L16" s="48" t="str">
        <f t="shared" si="1"/>
        <v/>
      </c>
      <c r="M16" s="42">
        <v>2</v>
      </c>
    </row>
    <row r="17" spans="1:13" x14ac:dyDescent="0.25">
      <c r="A17" s="40" t="s">
        <v>11</v>
      </c>
      <c r="B17" s="41" t="str">
        <f>IFERROR(VLOOKUP(A17,'🗂 Interventions'!$A$4:$B$9,2,0),"")</f>
        <v>Mass ITN campaigns</v>
      </c>
      <c r="C17" s="42" t="s">
        <v>77</v>
      </c>
      <c r="D17" s="4" t="s">
        <v>166</v>
      </c>
      <c r="E17" s="8">
        <v>2025</v>
      </c>
      <c r="F17" s="42" t="s">
        <v>150</v>
      </c>
      <c r="G17" s="43">
        <v>0.24</v>
      </c>
      <c r="H17" s="44" t="s">
        <v>167</v>
      </c>
      <c r="I17" s="45"/>
      <c r="J17" s="5"/>
      <c r="K17" s="7">
        <f t="shared" si="0"/>
        <v>0</v>
      </c>
      <c r="L17" s="46" t="str">
        <f t="shared" si="1"/>
        <v/>
      </c>
      <c r="M17" s="42">
        <v>2</v>
      </c>
    </row>
    <row r="18" spans="1:13" x14ac:dyDescent="0.25">
      <c r="A18" s="40" t="s">
        <v>11</v>
      </c>
      <c r="B18" s="47" t="str">
        <f>IFERROR(VLOOKUP(A18,'🗂 Interventions'!$A$4:$B$9,2,0),"")</f>
        <v>Mass ITN campaigns</v>
      </c>
      <c r="C18" s="42" t="s">
        <v>77</v>
      </c>
      <c r="D18" s="10" t="s">
        <v>168</v>
      </c>
      <c r="E18" s="8">
        <v>2025</v>
      </c>
      <c r="F18" s="42" t="s">
        <v>150</v>
      </c>
      <c r="G18" s="43">
        <v>7.0000000000000007E-2</v>
      </c>
      <c r="H18" s="44" t="s">
        <v>167</v>
      </c>
      <c r="I18" s="45"/>
      <c r="J18" s="5"/>
      <c r="K18" s="11">
        <f t="shared" si="0"/>
        <v>0</v>
      </c>
      <c r="L18" s="48" t="str">
        <f t="shared" si="1"/>
        <v/>
      </c>
      <c r="M18" s="42">
        <v>2</v>
      </c>
    </row>
    <row r="19" spans="1:13" ht="25.5" x14ac:dyDescent="0.25">
      <c r="A19" s="40" t="s">
        <v>11</v>
      </c>
      <c r="B19" s="41" t="str">
        <f>IFERROR(VLOOKUP(A19,'🗂 Interventions'!$A$4:$B$9,2,0),"")</f>
        <v>Mass ITN campaigns</v>
      </c>
      <c r="C19" s="42" t="s">
        <v>82</v>
      </c>
      <c r="D19" s="4" t="s">
        <v>169</v>
      </c>
      <c r="E19" s="8">
        <v>2025</v>
      </c>
      <c r="F19" s="42" t="s">
        <v>150</v>
      </c>
      <c r="G19" s="43">
        <v>0.11</v>
      </c>
      <c r="H19" s="44" t="s">
        <v>170</v>
      </c>
      <c r="I19" s="45"/>
      <c r="J19" s="5"/>
      <c r="K19" s="7">
        <f t="shared" si="0"/>
        <v>0</v>
      </c>
      <c r="L19" s="46" t="str">
        <f t="shared" si="1"/>
        <v/>
      </c>
      <c r="M19" s="42">
        <v>2</v>
      </c>
    </row>
    <row r="20" spans="1:13" x14ac:dyDescent="0.25">
      <c r="A20" s="40" t="s">
        <v>11</v>
      </c>
      <c r="B20" s="47" t="str">
        <f>IFERROR(VLOOKUP(A20,'🗂 Interventions'!$A$4:$B$9,2,0),"")</f>
        <v>Mass ITN campaigns</v>
      </c>
      <c r="C20" s="42" t="s">
        <v>82</v>
      </c>
      <c r="D20" s="10" t="s">
        <v>171</v>
      </c>
      <c r="E20" s="8">
        <v>2025</v>
      </c>
      <c r="F20" s="42" t="s">
        <v>150</v>
      </c>
      <c r="G20" s="43">
        <v>0.09</v>
      </c>
      <c r="H20" s="44" t="s">
        <v>172</v>
      </c>
      <c r="I20" s="45"/>
      <c r="J20" s="5"/>
      <c r="K20" s="11">
        <f t="shared" si="0"/>
        <v>0</v>
      </c>
      <c r="L20" s="48" t="str">
        <f t="shared" si="1"/>
        <v/>
      </c>
      <c r="M20" s="42">
        <v>2</v>
      </c>
    </row>
    <row r="21" spans="1:13" ht="25.5" x14ac:dyDescent="0.25">
      <c r="A21" s="40" t="s">
        <v>11</v>
      </c>
      <c r="B21" s="41" t="str">
        <f>IFERROR(VLOOKUP(A21,'🗂 Interventions'!$A$4:$B$9,2,0),"")</f>
        <v>Mass ITN campaigns</v>
      </c>
      <c r="C21" s="42" t="s">
        <v>82</v>
      </c>
      <c r="D21" s="4" t="s">
        <v>173</v>
      </c>
      <c r="E21" s="8">
        <v>2025</v>
      </c>
      <c r="F21" s="42" t="s">
        <v>150</v>
      </c>
      <c r="G21" s="43">
        <v>0.05</v>
      </c>
      <c r="H21" s="44" t="s">
        <v>174</v>
      </c>
      <c r="I21" s="45"/>
      <c r="J21" s="5"/>
      <c r="K21" s="7">
        <f t="shared" si="0"/>
        <v>0</v>
      </c>
      <c r="L21" s="46" t="str">
        <f t="shared" si="1"/>
        <v/>
      </c>
      <c r="M21" s="42">
        <v>2</v>
      </c>
    </row>
    <row r="22" spans="1:13" ht="25.5" x14ac:dyDescent="0.25">
      <c r="A22" s="40" t="s">
        <v>11</v>
      </c>
      <c r="B22" s="47" t="str">
        <f>IFERROR(VLOOKUP(A22,'🗂 Interventions'!$A$4:$B$9,2,0),"")</f>
        <v>Mass ITN campaigns</v>
      </c>
      <c r="C22" s="42" t="s">
        <v>87</v>
      </c>
      <c r="D22" s="10" t="s">
        <v>175</v>
      </c>
      <c r="E22" s="8">
        <v>2025</v>
      </c>
      <c r="F22" s="42" t="s">
        <v>150</v>
      </c>
      <c r="G22" s="43">
        <v>0.04</v>
      </c>
      <c r="H22" s="44" t="s">
        <v>176</v>
      </c>
      <c r="I22" s="45"/>
      <c r="J22" s="5"/>
      <c r="K22" s="11">
        <f t="shared" si="0"/>
        <v>0</v>
      </c>
      <c r="L22" s="48" t="str">
        <f t="shared" si="1"/>
        <v/>
      </c>
      <c r="M22" s="42">
        <v>2</v>
      </c>
    </row>
    <row r="23" spans="1:13" ht="19.5" customHeight="1" x14ac:dyDescent="0.25">
      <c r="A23" s="85" t="s">
        <v>177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</row>
    <row r="24" spans="1:13" ht="25.5" x14ac:dyDescent="0.25">
      <c r="A24" s="40" t="s">
        <v>14</v>
      </c>
      <c r="B24" s="47" t="str">
        <f>IFERROR(VLOOKUP(A24,'🗂 Interventions'!$A$4:$B$9,2,0),"")</f>
        <v>Routine ITN distribution</v>
      </c>
      <c r="C24" s="42" t="s">
        <v>67</v>
      </c>
      <c r="D24" s="10" t="s">
        <v>178</v>
      </c>
      <c r="E24" s="8">
        <v>2025</v>
      </c>
      <c r="F24" s="42" t="s">
        <v>150</v>
      </c>
      <c r="G24" s="43">
        <v>1.87</v>
      </c>
      <c r="H24" s="44" t="s">
        <v>179</v>
      </c>
      <c r="I24" s="45"/>
      <c r="J24" s="5"/>
      <c r="K24" s="11">
        <f t="shared" ref="K24:K33" si="2">IFERROR(G24*J24,"")</f>
        <v>0</v>
      </c>
      <c r="L24" s="48" t="str">
        <f t="shared" ref="L24:L33" si="3">IFERROR(K24/SUMIF($A$6:$A$489,A24,$K$6:$K$489),"")</f>
        <v/>
      </c>
      <c r="M24" s="42">
        <v>3</v>
      </c>
    </row>
    <row r="25" spans="1:13" ht="25.5" x14ac:dyDescent="0.25">
      <c r="A25" s="40" t="s">
        <v>14</v>
      </c>
      <c r="B25" s="41" t="str">
        <f>IFERROR(VLOOKUP(A25,'🗂 Interventions'!$A$4:$B$9,2,0),"")</f>
        <v>Routine ITN distribution</v>
      </c>
      <c r="C25" s="42" t="s">
        <v>67</v>
      </c>
      <c r="D25" s="4" t="s">
        <v>180</v>
      </c>
      <c r="E25" s="8">
        <v>2025</v>
      </c>
      <c r="F25" s="42" t="s">
        <v>150</v>
      </c>
      <c r="G25" s="43">
        <v>1.99</v>
      </c>
      <c r="H25" s="44" t="s">
        <v>179</v>
      </c>
      <c r="I25" s="45"/>
      <c r="J25" s="5"/>
      <c r="K25" s="7">
        <f t="shared" si="2"/>
        <v>0</v>
      </c>
      <c r="L25" s="46" t="str">
        <f t="shared" si="3"/>
        <v/>
      </c>
      <c r="M25" s="42">
        <v>3</v>
      </c>
    </row>
    <row r="26" spans="1:13" ht="24" x14ac:dyDescent="0.25">
      <c r="A26" s="40" t="s">
        <v>14</v>
      </c>
      <c r="B26" s="47" t="str">
        <f>IFERROR(VLOOKUP(A26,'🗂 Interventions'!$A$4:$B$9,2,0),"")</f>
        <v>Routine ITN distribution</v>
      </c>
      <c r="C26" s="69" t="s">
        <v>72</v>
      </c>
      <c r="D26" s="10" t="s">
        <v>156</v>
      </c>
      <c r="E26" s="8">
        <v>2025</v>
      </c>
      <c r="F26" s="42" t="s">
        <v>150</v>
      </c>
      <c r="G26" s="43">
        <v>0.2</v>
      </c>
      <c r="H26" s="44" t="s">
        <v>157</v>
      </c>
      <c r="I26" s="45"/>
      <c r="J26" s="5"/>
      <c r="K26" s="11">
        <f t="shared" si="2"/>
        <v>0</v>
      </c>
      <c r="L26" s="48" t="str">
        <f t="shared" si="3"/>
        <v/>
      </c>
      <c r="M26" s="42">
        <v>2</v>
      </c>
    </row>
    <row r="27" spans="1:13" x14ac:dyDescent="0.25">
      <c r="A27" s="40" t="s">
        <v>14</v>
      </c>
      <c r="B27" s="41" t="str">
        <f>IFERROR(VLOOKUP(A27,'🗂 Interventions'!$A$4:$B$9,2,0),"")</f>
        <v>Routine ITN distribution</v>
      </c>
      <c r="C27" s="70" t="s">
        <v>72</v>
      </c>
      <c r="D27" s="4" t="s">
        <v>181</v>
      </c>
      <c r="E27" s="8">
        <v>2025</v>
      </c>
      <c r="F27" s="42" t="s">
        <v>150</v>
      </c>
      <c r="G27" s="43">
        <v>0.28000000000000003</v>
      </c>
      <c r="H27" s="44" t="s">
        <v>182</v>
      </c>
      <c r="I27" s="45"/>
      <c r="J27" s="5"/>
      <c r="K27" s="7">
        <f t="shared" si="2"/>
        <v>0</v>
      </c>
      <c r="L27" s="46" t="str">
        <f t="shared" si="3"/>
        <v/>
      </c>
      <c r="M27" s="42">
        <v>2</v>
      </c>
    </row>
    <row r="28" spans="1:13" x14ac:dyDescent="0.25">
      <c r="A28" s="40" t="s">
        <v>14</v>
      </c>
      <c r="B28" s="47" t="str">
        <f>IFERROR(VLOOKUP(A28,'🗂 Interventions'!$A$4:$B$9,2,0),"")</f>
        <v>Routine ITN distribution</v>
      </c>
      <c r="C28" s="69" t="s">
        <v>72</v>
      </c>
      <c r="D28" s="10" t="s">
        <v>183</v>
      </c>
      <c r="E28" s="8">
        <v>2025</v>
      </c>
      <c r="F28" s="42" t="s">
        <v>150</v>
      </c>
      <c r="G28" s="43">
        <v>7.0000000000000007E-2</v>
      </c>
      <c r="H28" s="44" t="s">
        <v>176</v>
      </c>
      <c r="I28" s="45"/>
      <c r="J28" s="5"/>
      <c r="K28" s="11">
        <f t="shared" si="2"/>
        <v>0</v>
      </c>
      <c r="L28" s="48" t="str">
        <f t="shared" si="3"/>
        <v/>
      </c>
      <c r="M28" s="42">
        <v>1</v>
      </c>
    </row>
    <row r="29" spans="1:13" ht="16.5" customHeight="1" x14ac:dyDescent="0.25">
      <c r="A29" s="40" t="s">
        <v>14</v>
      </c>
      <c r="B29" s="41" t="str">
        <f>IFERROR(VLOOKUP(A29,'🗂 Interventions'!$A$4:$B$9,2,0),"")</f>
        <v>Routine ITN distribution</v>
      </c>
      <c r="C29" s="42" t="s">
        <v>77</v>
      </c>
      <c r="D29" s="4" t="s">
        <v>184</v>
      </c>
      <c r="E29" s="8">
        <v>2025</v>
      </c>
      <c r="F29" s="42" t="s">
        <v>150</v>
      </c>
      <c r="G29" s="43">
        <v>0.18</v>
      </c>
      <c r="H29" s="44" t="s">
        <v>185</v>
      </c>
      <c r="I29" s="45"/>
      <c r="J29" s="5"/>
      <c r="K29" s="7">
        <f t="shared" si="2"/>
        <v>0</v>
      </c>
      <c r="L29" s="46" t="str">
        <f t="shared" si="3"/>
        <v/>
      </c>
      <c r="M29" s="42">
        <v>2</v>
      </c>
    </row>
    <row r="30" spans="1:13" ht="16.5" customHeight="1" x14ac:dyDescent="0.25">
      <c r="A30" s="40" t="s">
        <v>14</v>
      </c>
      <c r="B30" s="47" t="str">
        <f>IFERROR(VLOOKUP(A30,'🗂 Interventions'!$A$4:$B$9,2,0),"")</f>
        <v>Routine ITN distribution</v>
      </c>
      <c r="C30" s="42" t="s">
        <v>77</v>
      </c>
      <c r="D30" s="10" t="s">
        <v>186</v>
      </c>
      <c r="E30" s="8">
        <v>2025</v>
      </c>
      <c r="F30" s="42" t="s">
        <v>150</v>
      </c>
      <c r="G30" s="43">
        <v>0.05</v>
      </c>
      <c r="H30" s="44" t="s">
        <v>176</v>
      </c>
      <c r="I30" s="45"/>
      <c r="J30" s="5"/>
      <c r="K30" s="11">
        <f t="shared" si="2"/>
        <v>0</v>
      </c>
      <c r="L30" s="48" t="str">
        <f t="shared" si="3"/>
        <v/>
      </c>
      <c r="M30" s="42">
        <v>2</v>
      </c>
    </row>
    <row r="31" spans="1:13" ht="25.5" x14ac:dyDescent="0.25">
      <c r="A31" s="40" t="s">
        <v>14</v>
      </c>
      <c r="B31" s="41" t="str">
        <f>IFERROR(VLOOKUP(A31,'🗂 Interventions'!$A$4:$B$9,2,0),"")</f>
        <v>Routine ITN distribution</v>
      </c>
      <c r="C31" s="42" t="s">
        <v>82</v>
      </c>
      <c r="D31" s="4" t="s">
        <v>187</v>
      </c>
      <c r="E31" s="8">
        <v>2025</v>
      </c>
      <c r="F31" s="42" t="s">
        <v>150</v>
      </c>
      <c r="G31" s="43">
        <v>0.14000000000000001</v>
      </c>
      <c r="H31" s="44" t="s">
        <v>170</v>
      </c>
      <c r="I31" s="45"/>
      <c r="J31" s="5"/>
      <c r="K31" s="7">
        <f t="shared" si="2"/>
        <v>0</v>
      </c>
      <c r="L31" s="46" t="str">
        <f t="shared" si="3"/>
        <v/>
      </c>
      <c r="M31" s="42">
        <v>2</v>
      </c>
    </row>
    <row r="32" spans="1:13" ht="16.5" customHeight="1" x14ac:dyDescent="0.25">
      <c r="A32" s="40" t="s">
        <v>14</v>
      </c>
      <c r="B32" s="47" t="str">
        <f>IFERROR(VLOOKUP(A32,'🗂 Interventions'!$A$4:$B$9,2,0),"")</f>
        <v>Routine ITN distribution</v>
      </c>
      <c r="C32" s="42" t="s">
        <v>82</v>
      </c>
      <c r="D32" s="10" t="s">
        <v>188</v>
      </c>
      <c r="E32" s="8">
        <v>2025</v>
      </c>
      <c r="F32" s="42" t="s">
        <v>150</v>
      </c>
      <c r="G32" s="43">
        <v>7.0000000000000007E-2</v>
      </c>
      <c r="H32" s="44" t="s">
        <v>172</v>
      </c>
      <c r="I32" s="45"/>
      <c r="J32" s="5"/>
      <c r="K32" s="11">
        <f t="shared" si="2"/>
        <v>0</v>
      </c>
      <c r="L32" s="48" t="str">
        <f t="shared" si="3"/>
        <v/>
      </c>
      <c r="M32" s="42">
        <v>2</v>
      </c>
    </row>
    <row r="33" spans="1:13" ht="16.5" customHeight="1" x14ac:dyDescent="0.25">
      <c r="A33" s="40" t="s">
        <v>14</v>
      </c>
      <c r="B33" s="41" t="str">
        <f>IFERROR(VLOOKUP(A33,'🗂 Interventions'!$A$4:$B$9,2,0),"")</f>
        <v>Routine ITN distribution</v>
      </c>
      <c r="C33" s="42" t="s">
        <v>87</v>
      </c>
      <c r="D33" s="4" t="s">
        <v>189</v>
      </c>
      <c r="E33" s="8">
        <v>2025</v>
      </c>
      <c r="F33" s="42" t="s">
        <v>150</v>
      </c>
      <c r="G33" s="43">
        <v>0.04</v>
      </c>
      <c r="H33" s="44" t="s">
        <v>176</v>
      </c>
      <c r="I33" s="45"/>
      <c r="J33" s="5"/>
      <c r="K33" s="7">
        <f t="shared" si="2"/>
        <v>0</v>
      </c>
      <c r="L33" s="46" t="str">
        <f t="shared" si="3"/>
        <v/>
      </c>
      <c r="M33" s="42">
        <v>2</v>
      </c>
    </row>
    <row r="34" spans="1:13" ht="19.5" customHeight="1" x14ac:dyDescent="0.25">
      <c r="A34" s="86" t="s">
        <v>190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1:13" ht="25.5" x14ac:dyDescent="0.25">
      <c r="A35" s="40" t="s">
        <v>17</v>
      </c>
      <c r="B35" s="41" t="str">
        <f>IFERROR(VLOOKUP(A35,'🗂 Interventions'!$A$4:$B$9,2,0),"")</f>
        <v>Indoor Residual Spraying</v>
      </c>
      <c r="C35" s="42" t="s">
        <v>67</v>
      </c>
      <c r="D35" s="4" t="s">
        <v>191</v>
      </c>
      <c r="E35" s="8">
        <v>2025</v>
      </c>
      <c r="F35" s="42" t="s">
        <v>192</v>
      </c>
      <c r="G35" s="43">
        <v>5.2</v>
      </c>
      <c r="H35" s="44" t="s">
        <v>193</v>
      </c>
      <c r="I35" s="45"/>
      <c r="J35" s="5"/>
      <c r="K35" s="7">
        <f t="shared" ref="K35:K49" si="4">IFERROR(G35*J35,"")</f>
        <v>0</v>
      </c>
      <c r="L35" s="46" t="str">
        <f t="shared" ref="L35:L49" si="5">IFERROR(K35/SUMIF($A$6:$A$489,A35,$K$6:$K$489),"")</f>
        <v/>
      </c>
      <c r="M35" s="42">
        <v>2</v>
      </c>
    </row>
    <row r="36" spans="1:13" ht="25.5" x14ac:dyDescent="0.25">
      <c r="A36" s="40" t="s">
        <v>17</v>
      </c>
      <c r="B36" s="47" t="str">
        <f>IFERROR(VLOOKUP(A36,'🗂 Interventions'!$A$4:$B$9,2,0),"")</f>
        <v>Indoor Residual Spraying</v>
      </c>
      <c r="C36" s="42" t="s">
        <v>67</v>
      </c>
      <c r="D36" s="10" t="s">
        <v>194</v>
      </c>
      <c r="E36" s="8">
        <v>2025</v>
      </c>
      <c r="F36" s="42" t="s">
        <v>192</v>
      </c>
      <c r="G36" s="43">
        <v>6.5</v>
      </c>
      <c r="H36" s="44" t="s">
        <v>195</v>
      </c>
      <c r="I36" s="45"/>
      <c r="J36" s="5"/>
      <c r="K36" s="11">
        <f t="shared" si="4"/>
        <v>0</v>
      </c>
      <c r="L36" s="48" t="str">
        <f t="shared" si="5"/>
        <v/>
      </c>
      <c r="M36" s="42">
        <v>2</v>
      </c>
    </row>
    <row r="37" spans="1:13" ht="25.5" x14ac:dyDescent="0.25">
      <c r="A37" s="40" t="s">
        <v>17</v>
      </c>
      <c r="B37" s="41" t="str">
        <f>IFERROR(VLOOKUP(A37,'🗂 Interventions'!$A$4:$B$9,2,0),"")</f>
        <v>Indoor Residual Spraying</v>
      </c>
      <c r="C37" s="42" t="s">
        <v>67</v>
      </c>
      <c r="D37" s="4" t="s">
        <v>196</v>
      </c>
      <c r="E37" s="8">
        <v>2025</v>
      </c>
      <c r="F37" s="42" t="s">
        <v>192</v>
      </c>
      <c r="G37" s="43">
        <v>6.8</v>
      </c>
      <c r="H37" s="44" t="s">
        <v>195</v>
      </c>
      <c r="I37" s="45"/>
      <c r="J37" s="5"/>
      <c r="K37" s="7">
        <f t="shared" si="4"/>
        <v>0</v>
      </c>
      <c r="L37" s="46" t="str">
        <f t="shared" si="5"/>
        <v/>
      </c>
      <c r="M37" s="42">
        <v>2</v>
      </c>
    </row>
    <row r="38" spans="1:13" ht="25.5" x14ac:dyDescent="0.25">
      <c r="A38" s="40" t="s">
        <v>17</v>
      </c>
      <c r="B38" s="47" t="str">
        <f>IFERROR(VLOOKUP(A38,'🗂 Interventions'!$A$4:$B$9,2,0),"")</f>
        <v>Indoor Residual Spraying</v>
      </c>
      <c r="C38" s="42" t="s">
        <v>67</v>
      </c>
      <c r="D38" s="10" t="s">
        <v>197</v>
      </c>
      <c r="E38" s="8">
        <v>2025</v>
      </c>
      <c r="F38" s="42" t="s">
        <v>192</v>
      </c>
      <c r="G38" s="43">
        <v>0.38</v>
      </c>
      <c r="H38" s="44" t="s">
        <v>198</v>
      </c>
      <c r="I38" s="45"/>
      <c r="J38" s="5"/>
      <c r="K38" s="11">
        <f t="shared" si="4"/>
        <v>0</v>
      </c>
      <c r="L38" s="48" t="str">
        <f t="shared" si="5"/>
        <v/>
      </c>
      <c r="M38" s="42">
        <v>2</v>
      </c>
    </row>
    <row r="39" spans="1:13" ht="25.5" x14ac:dyDescent="0.25">
      <c r="A39" s="40" t="s">
        <v>17</v>
      </c>
      <c r="B39" s="41" t="str">
        <f>IFERROR(VLOOKUP(A39,'🗂 Interventions'!$A$4:$B$9,2,0),"")</f>
        <v>Indoor Residual Spraying</v>
      </c>
      <c r="C39" s="42" t="s">
        <v>67</v>
      </c>
      <c r="D39" s="4" t="s">
        <v>199</v>
      </c>
      <c r="E39" s="8">
        <v>2025</v>
      </c>
      <c r="F39" s="42" t="s">
        <v>192</v>
      </c>
      <c r="G39" s="43">
        <v>0.28000000000000003</v>
      </c>
      <c r="H39" s="44" t="s">
        <v>200</v>
      </c>
      <c r="I39" s="45"/>
      <c r="J39" s="5"/>
      <c r="K39" s="7">
        <f t="shared" si="4"/>
        <v>0</v>
      </c>
      <c r="L39" s="46" t="str">
        <f t="shared" si="5"/>
        <v/>
      </c>
      <c r="M39" s="42">
        <v>2</v>
      </c>
    </row>
    <row r="40" spans="1:13" ht="25.5" x14ac:dyDescent="0.25">
      <c r="A40" s="40" t="s">
        <v>17</v>
      </c>
      <c r="B40" s="47" t="str">
        <f>IFERROR(VLOOKUP(A40,'🗂 Interventions'!$A$4:$B$9,2,0),"")</f>
        <v>Indoor Residual Spraying</v>
      </c>
      <c r="C40" s="42" t="s">
        <v>72</v>
      </c>
      <c r="D40" s="10" t="s">
        <v>201</v>
      </c>
      <c r="E40" s="8">
        <v>2025</v>
      </c>
      <c r="F40" s="42" t="s">
        <v>192</v>
      </c>
      <c r="G40" s="43">
        <v>0.32</v>
      </c>
      <c r="H40" s="44" t="s">
        <v>182</v>
      </c>
      <c r="I40" s="45"/>
      <c r="J40" s="5"/>
      <c r="K40" s="11">
        <f t="shared" si="4"/>
        <v>0</v>
      </c>
      <c r="L40" s="48" t="str">
        <f t="shared" si="5"/>
        <v/>
      </c>
      <c r="M40" s="42">
        <v>2</v>
      </c>
    </row>
    <row r="41" spans="1:13" ht="16.5" customHeight="1" x14ac:dyDescent="0.25">
      <c r="A41" s="40" t="s">
        <v>17</v>
      </c>
      <c r="B41" s="41" t="str">
        <f>IFERROR(VLOOKUP(A41,'🗂 Interventions'!$A$4:$B$9,2,0),"")</f>
        <v>Indoor Residual Spraying</v>
      </c>
      <c r="C41" s="42" t="s">
        <v>72</v>
      </c>
      <c r="D41" s="4" t="s">
        <v>202</v>
      </c>
      <c r="E41" s="8">
        <v>2025</v>
      </c>
      <c r="F41" s="42" t="s">
        <v>192</v>
      </c>
      <c r="G41" s="43">
        <v>0.1</v>
      </c>
      <c r="H41" s="44" t="s">
        <v>203</v>
      </c>
      <c r="I41" s="45"/>
      <c r="J41" s="5"/>
      <c r="K41" s="7">
        <f t="shared" si="4"/>
        <v>0</v>
      </c>
      <c r="L41" s="46" t="str">
        <f t="shared" si="5"/>
        <v/>
      </c>
      <c r="M41" s="42">
        <v>1</v>
      </c>
    </row>
    <row r="42" spans="1:13" ht="25.5" x14ac:dyDescent="0.25">
      <c r="A42" s="40" t="s">
        <v>17</v>
      </c>
      <c r="B42" s="47" t="str">
        <f>IFERROR(VLOOKUP(A42,'🗂 Interventions'!$A$4:$B$9,2,0),"")</f>
        <v>Indoor Residual Spraying</v>
      </c>
      <c r="C42" s="42" t="s">
        <v>77</v>
      </c>
      <c r="D42" s="10" t="s">
        <v>204</v>
      </c>
      <c r="E42" s="8">
        <v>2025</v>
      </c>
      <c r="F42" s="42" t="s">
        <v>192</v>
      </c>
      <c r="G42" s="43">
        <v>2.4</v>
      </c>
      <c r="H42" s="44" t="s">
        <v>205</v>
      </c>
      <c r="I42" s="45"/>
      <c r="J42" s="5"/>
      <c r="K42" s="11">
        <f t="shared" si="4"/>
        <v>0</v>
      </c>
      <c r="L42" s="48" t="str">
        <f t="shared" si="5"/>
        <v/>
      </c>
      <c r="M42" s="42">
        <v>2</v>
      </c>
    </row>
    <row r="43" spans="1:13" ht="25.5" x14ac:dyDescent="0.25">
      <c r="A43" s="40" t="s">
        <v>17</v>
      </c>
      <c r="B43" s="41" t="str">
        <f>IFERROR(VLOOKUP(A43,'🗂 Interventions'!$A$4:$B$9,2,0),"")</f>
        <v>Indoor Residual Spraying</v>
      </c>
      <c r="C43" s="42" t="s">
        <v>77</v>
      </c>
      <c r="D43" s="4" t="s">
        <v>206</v>
      </c>
      <c r="E43" s="8">
        <v>2025</v>
      </c>
      <c r="F43" s="42" t="s">
        <v>192</v>
      </c>
      <c r="G43" s="43">
        <v>0.18</v>
      </c>
      <c r="H43" s="44" t="s">
        <v>207</v>
      </c>
      <c r="I43" s="45"/>
      <c r="J43" s="5"/>
      <c r="K43" s="7">
        <f t="shared" si="4"/>
        <v>0</v>
      </c>
      <c r="L43" s="46" t="str">
        <f t="shared" si="5"/>
        <v/>
      </c>
      <c r="M43" s="42">
        <v>2</v>
      </c>
    </row>
    <row r="44" spans="1:13" x14ac:dyDescent="0.25">
      <c r="A44" s="40" t="s">
        <v>17</v>
      </c>
      <c r="B44" s="47" t="str">
        <f>IFERROR(VLOOKUP(A44,'🗂 Interventions'!$A$4:$B$9,2,0),"")</f>
        <v>Indoor Residual Spraying</v>
      </c>
      <c r="C44" s="42" t="s">
        <v>77</v>
      </c>
      <c r="D44" s="10" t="s">
        <v>208</v>
      </c>
      <c r="E44" s="8">
        <v>2025</v>
      </c>
      <c r="F44" s="42" t="s">
        <v>192</v>
      </c>
      <c r="G44" s="43">
        <v>0.28000000000000003</v>
      </c>
      <c r="H44" s="44" t="s">
        <v>205</v>
      </c>
      <c r="I44" s="45"/>
      <c r="J44" s="5"/>
      <c r="K44" s="11">
        <f t="shared" si="4"/>
        <v>0</v>
      </c>
      <c r="L44" s="48" t="str">
        <f t="shared" si="5"/>
        <v/>
      </c>
      <c r="M44" s="42">
        <v>2</v>
      </c>
    </row>
    <row r="45" spans="1:13" ht="25.5" x14ac:dyDescent="0.25">
      <c r="A45" s="40" t="s">
        <v>17</v>
      </c>
      <c r="B45" s="41" t="str">
        <f>IFERROR(VLOOKUP(A45,'🗂 Interventions'!$A$4:$B$9,2,0),"")</f>
        <v>Indoor Residual Spraying</v>
      </c>
      <c r="C45" s="42" t="s">
        <v>77</v>
      </c>
      <c r="D45" s="4" t="s">
        <v>209</v>
      </c>
      <c r="E45" s="8">
        <v>2025</v>
      </c>
      <c r="F45" s="42" t="s">
        <v>192</v>
      </c>
      <c r="G45" s="43">
        <v>0.14000000000000001</v>
      </c>
      <c r="H45" s="44" t="s">
        <v>210</v>
      </c>
      <c r="I45" s="45"/>
      <c r="J45" s="5"/>
      <c r="K45" s="7">
        <f t="shared" si="4"/>
        <v>0</v>
      </c>
      <c r="L45" s="46" t="str">
        <f t="shared" si="5"/>
        <v/>
      </c>
      <c r="M45" s="42">
        <v>2</v>
      </c>
    </row>
    <row r="46" spans="1:13" ht="16.5" customHeight="1" x14ac:dyDescent="0.25">
      <c r="A46" s="40" t="s">
        <v>17</v>
      </c>
      <c r="B46" s="47" t="str">
        <f>IFERROR(VLOOKUP(A46,'🗂 Interventions'!$A$4:$B$9,2,0),"")</f>
        <v>Indoor Residual Spraying</v>
      </c>
      <c r="C46" s="42" t="s">
        <v>82</v>
      </c>
      <c r="D46" s="10" t="s">
        <v>211</v>
      </c>
      <c r="E46" s="8">
        <v>2025</v>
      </c>
      <c r="F46" s="42" t="s">
        <v>192</v>
      </c>
      <c r="G46" s="43">
        <v>0.22</v>
      </c>
      <c r="H46" s="44" t="s">
        <v>170</v>
      </c>
      <c r="I46" s="45"/>
      <c r="J46" s="5"/>
      <c r="K46" s="11">
        <f t="shared" si="4"/>
        <v>0</v>
      </c>
      <c r="L46" s="48" t="str">
        <f t="shared" si="5"/>
        <v/>
      </c>
      <c r="M46" s="42">
        <v>2</v>
      </c>
    </row>
    <row r="47" spans="1:13" ht="25.5" x14ac:dyDescent="0.25">
      <c r="A47" s="40" t="s">
        <v>17</v>
      </c>
      <c r="B47" s="41" t="str">
        <f>IFERROR(VLOOKUP(A47,'🗂 Interventions'!$A$4:$B$9,2,0),"")</f>
        <v>Indoor Residual Spraying</v>
      </c>
      <c r="C47" s="42" t="s">
        <v>82</v>
      </c>
      <c r="D47" s="4" t="s">
        <v>212</v>
      </c>
      <c r="E47" s="8">
        <v>2025</v>
      </c>
      <c r="F47" s="42" t="s">
        <v>192</v>
      </c>
      <c r="G47" s="43">
        <v>0.09</v>
      </c>
      <c r="H47" s="44" t="s">
        <v>213</v>
      </c>
      <c r="I47" s="45"/>
      <c r="J47" s="5"/>
      <c r="K47" s="7">
        <f t="shared" si="4"/>
        <v>0</v>
      </c>
      <c r="L47" s="46" t="str">
        <f t="shared" si="5"/>
        <v/>
      </c>
      <c r="M47" s="42">
        <v>2</v>
      </c>
    </row>
    <row r="48" spans="1:13" ht="25.5" x14ac:dyDescent="0.25">
      <c r="A48" s="40" t="s">
        <v>17</v>
      </c>
      <c r="B48" s="47" t="str">
        <f>IFERROR(VLOOKUP(A48,'🗂 Interventions'!$A$4:$B$9,2,0),"")</f>
        <v>Indoor Residual Spraying</v>
      </c>
      <c r="C48" s="42" t="s">
        <v>87</v>
      </c>
      <c r="D48" s="10" t="s">
        <v>214</v>
      </c>
      <c r="E48" s="8">
        <v>2025</v>
      </c>
      <c r="F48" s="42" t="s">
        <v>192</v>
      </c>
      <c r="G48" s="43">
        <v>0.08</v>
      </c>
      <c r="H48" s="44" t="s">
        <v>174</v>
      </c>
      <c r="I48" s="45"/>
      <c r="J48" s="5"/>
      <c r="K48" s="11">
        <f t="shared" si="4"/>
        <v>0</v>
      </c>
      <c r="L48" s="48" t="str">
        <f t="shared" si="5"/>
        <v/>
      </c>
      <c r="M48" s="42">
        <v>2</v>
      </c>
    </row>
    <row r="49" spans="1:13" ht="25.5" x14ac:dyDescent="0.25">
      <c r="A49" s="40" t="s">
        <v>17</v>
      </c>
      <c r="B49" s="41" t="str">
        <f>IFERROR(VLOOKUP(A49,'🗂 Interventions'!$A$4:$B$9,2,0),"")</f>
        <v>Indoor Residual Spraying</v>
      </c>
      <c r="C49" s="42" t="s">
        <v>87</v>
      </c>
      <c r="D49" s="4" t="s">
        <v>215</v>
      </c>
      <c r="E49" s="8">
        <v>2025</v>
      </c>
      <c r="F49" s="42" t="s">
        <v>192</v>
      </c>
      <c r="G49" s="43">
        <v>0.06</v>
      </c>
      <c r="H49" s="44" t="s">
        <v>172</v>
      </c>
      <c r="I49" s="45"/>
      <c r="J49" s="5"/>
      <c r="K49" s="7">
        <f t="shared" si="4"/>
        <v>0</v>
      </c>
      <c r="L49" s="46" t="str">
        <f t="shared" si="5"/>
        <v/>
      </c>
      <c r="M49" s="42">
        <v>2</v>
      </c>
    </row>
    <row r="50" spans="1:13" ht="19.5" customHeight="1" x14ac:dyDescent="0.25">
      <c r="A50" s="87" t="s">
        <v>216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</row>
    <row r="51" spans="1:13" ht="25.5" x14ac:dyDescent="0.25">
      <c r="A51" s="40" t="s">
        <v>20</v>
      </c>
      <c r="B51" s="41" t="str">
        <f>IFERROR(VLOOKUP(A51,'🗂 Interventions'!$A$4:$B$9,2,0),"")</f>
        <v>Seasonal Malaria Chemoprevention</v>
      </c>
      <c r="C51" s="42" t="s">
        <v>67</v>
      </c>
      <c r="D51" s="4" t="s">
        <v>409</v>
      </c>
      <c r="E51" s="8">
        <v>2025</v>
      </c>
      <c r="F51" s="42" t="s">
        <v>218</v>
      </c>
      <c r="G51" s="43">
        <v>0.24</v>
      </c>
      <c r="H51" s="44" t="s">
        <v>219</v>
      </c>
      <c r="I51" s="45"/>
      <c r="J51" s="5"/>
      <c r="K51" s="7">
        <f t="shared" ref="K51:K61" si="6">IFERROR(G51*J51,"")</f>
        <v>0</v>
      </c>
      <c r="L51" s="46" t="str">
        <f t="shared" ref="L51:L61" si="7">IFERROR(K51/SUMIF($A$6:$A$489,A51,$K$6:$K$489),"")</f>
        <v/>
      </c>
      <c r="M51" s="42">
        <v>3</v>
      </c>
    </row>
    <row r="52" spans="1:13" ht="25.5" x14ac:dyDescent="0.25">
      <c r="A52" s="40" t="s">
        <v>20</v>
      </c>
      <c r="B52" s="41" t="str">
        <f>IFERROR(VLOOKUP(A52,'🗂 Interventions'!$A$4:$B$9,2,0),"")</f>
        <v>Seasonal Malaria Chemoprevention</v>
      </c>
      <c r="C52" s="42" t="s">
        <v>67</v>
      </c>
      <c r="D52" s="4" t="s">
        <v>220</v>
      </c>
      <c r="E52" s="8">
        <v>2025</v>
      </c>
      <c r="F52" s="42" t="s">
        <v>218</v>
      </c>
      <c r="G52" s="43">
        <v>0.28000000000000003</v>
      </c>
      <c r="H52" s="44" t="s">
        <v>221</v>
      </c>
      <c r="I52" s="45"/>
      <c r="J52" s="5"/>
      <c r="K52" s="7">
        <f t="shared" si="6"/>
        <v>0</v>
      </c>
      <c r="L52" s="46" t="str">
        <f t="shared" si="7"/>
        <v/>
      </c>
      <c r="M52" s="42">
        <v>3</v>
      </c>
    </row>
    <row r="53" spans="1:13" ht="25.5" x14ac:dyDescent="0.25">
      <c r="A53" s="40" t="s">
        <v>20</v>
      </c>
      <c r="B53" s="47" t="str">
        <f>IFERROR(VLOOKUP(A53,'🗂 Interventions'!$A$4:$B$9,2,0),"")</f>
        <v>Seasonal Malaria Chemoprevention</v>
      </c>
      <c r="C53" s="42" t="s">
        <v>72</v>
      </c>
      <c r="D53" s="10" t="s">
        <v>222</v>
      </c>
      <c r="E53" s="8">
        <v>2025</v>
      </c>
      <c r="F53" s="42" t="s">
        <v>218</v>
      </c>
      <c r="G53" s="43">
        <v>0.18</v>
      </c>
      <c r="H53" s="44" t="s">
        <v>223</v>
      </c>
      <c r="I53" s="45"/>
      <c r="J53" s="5"/>
      <c r="K53" s="11">
        <f t="shared" si="6"/>
        <v>0</v>
      </c>
      <c r="L53" s="48" t="str">
        <f t="shared" si="7"/>
        <v/>
      </c>
      <c r="M53" s="42">
        <v>2</v>
      </c>
    </row>
    <row r="54" spans="1:13" ht="25.5" x14ac:dyDescent="0.25">
      <c r="A54" s="40" t="s">
        <v>20</v>
      </c>
      <c r="B54" s="41" t="str">
        <f>IFERROR(VLOOKUP(A54,'🗂 Interventions'!$A$4:$B$9,2,0),"")</f>
        <v>Seasonal Malaria Chemoprevention</v>
      </c>
      <c r="C54" s="42" t="s">
        <v>72</v>
      </c>
      <c r="D54" s="4" t="s">
        <v>224</v>
      </c>
      <c r="E54" s="8">
        <v>2025</v>
      </c>
      <c r="F54" s="42" t="s">
        <v>218</v>
      </c>
      <c r="G54" s="43">
        <v>0.14000000000000001</v>
      </c>
      <c r="H54" s="44" t="s">
        <v>223</v>
      </c>
      <c r="I54" s="45"/>
      <c r="J54" s="5"/>
      <c r="K54" s="7">
        <f t="shared" si="6"/>
        <v>0</v>
      </c>
      <c r="L54" s="46" t="str">
        <f t="shared" si="7"/>
        <v/>
      </c>
      <c r="M54" s="42">
        <v>2</v>
      </c>
    </row>
    <row r="55" spans="1:13" ht="25.5" x14ac:dyDescent="0.25">
      <c r="A55" s="40" t="s">
        <v>20</v>
      </c>
      <c r="B55" s="47" t="str">
        <f>IFERROR(VLOOKUP(A55,'🗂 Interventions'!$A$4:$B$9,2,0),"")</f>
        <v>Seasonal Malaria Chemoprevention</v>
      </c>
      <c r="C55" s="42" t="s">
        <v>77</v>
      </c>
      <c r="D55" s="10" t="s">
        <v>225</v>
      </c>
      <c r="E55" s="8">
        <v>2025</v>
      </c>
      <c r="F55" s="42" t="s">
        <v>218</v>
      </c>
      <c r="G55" s="43">
        <v>0.42</v>
      </c>
      <c r="H55" s="44" t="s">
        <v>226</v>
      </c>
      <c r="I55" s="45"/>
      <c r="J55" s="5"/>
      <c r="K55" s="11">
        <f t="shared" si="6"/>
        <v>0</v>
      </c>
      <c r="L55" s="48" t="str">
        <f t="shared" si="7"/>
        <v/>
      </c>
      <c r="M55" s="42">
        <v>2</v>
      </c>
    </row>
    <row r="56" spans="1:13" ht="25.5" x14ac:dyDescent="0.25">
      <c r="A56" s="40" t="s">
        <v>20</v>
      </c>
      <c r="B56" s="41" t="str">
        <f>IFERROR(VLOOKUP(A56,'🗂 Interventions'!$A$4:$B$9,2,0),"")</f>
        <v>Seasonal Malaria Chemoprevention</v>
      </c>
      <c r="C56" s="42" t="s">
        <v>77</v>
      </c>
      <c r="D56" s="4" t="s">
        <v>227</v>
      </c>
      <c r="E56" s="8">
        <v>2025</v>
      </c>
      <c r="F56" s="42" t="s">
        <v>218</v>
      </c>
      <c r="G56" s="43">
        <v>0.09</v>
      </c>
      <c r="H56" s="44" t="s">
        <v>228</v>
      </c>
      <c r="I56" s="45"/>
      <c r="J56" s="5"/>
      <c r="K56" s="7">
        <f t="shared" si="6"/>
        <v>0</v>
      </c>
      <c r="L56" s="46" t="str">
        <f t="shared" si="7"/>
        <v/>
      </c>
      <c r="M56" s="42">
        <v>2</v>
      </c>
    </row>
    <row r="57" spans="1:13" ht="25.5" x14ac:dyDescent="0.25">
      <c r="A57" s="40" t="s">
        <v>20</v>
      </c>
      <c r="B57" s="47" t="str">
        <f>IFERROR(VLOOKUP(A57,'🗂 Interventions'!$A$4:$B$9,2,0),"")</f>
        <v>Seasonal Malaria Chemoprevention</v>
      </c>
      <c r="C57" s="42" t="s">
        <v>77</v>
      </c>
      <c r="D57" s="10" t="s">
        <v>229</v>
      </c>
      <c r="E57" s="8">
        <v>2025</v>
      </c>
      <c r="F57" s="42" t="s">
        <v>218</v>
      </c>
      <c r="G57" s="43">
        <v>0.11</v>
      </c>
      <c r="H57" s="44" t="s">
        <v>210</v>
      </c>
      <c r="I57" s="45"/>
      <c r="J57" s="5"/>
      <c r="K57" s="11">
        <f t="shared" si="6"/>
        <v>0</v>
      </c>
      <c r="L57" s="48" t="str">
        <f t="shared" si="7"/>
        <v/>
      </c>
      <c r="M57" s="42">
        <v>2</v>
      </c>
    </row>
    <row r="58" spans="1:13" ht="25.5" x14ac:dyDescent="0.25">
      <c r="A58" s="40" t="s">
        <v>20</v>
      </c>
      <c r="B58" s="41" t="str">
        <f>IFERROR(VLOOKUP(A58,'🗂 Interventions'!$A$4:$B$9,2,0),"")</f>
        <v>Seasonal Malaria Chemoprevention</v>
      </c>
      <c r="C58" s="42" t="s">
        <v>77</v>
      </c>
      <c r="D58" s="4" t="s">
        <v>230</v>
      </c>
      <c r="E58" s="8">
        <v>2025</v>
      </c>
      <c r="F58" s="42" t="s">
        <v>218</v>
      </c>
      <c r="G58" s="43">
        <v>0.04</v>
      </c>
      <c r="H58" s="44" t="s">
        <v>176</v>
      </c>
      <c r="I58" s="45"/>
      <c r="J58" s="5"/>
      <c r="K58" s="7">
        <f t="shared" si="6"/>
        <v>0</v>
      </c>
      <c r="L58" s="46" t="str">
        <f t="shared" si="7"/>
        <v/>
      </c>
      <c r="M58" s="42">
        <v>2</v>
      </c>
    </row>
    <row r="59" spans="1:13" ht="25.5" x14ac:dyDescent="0.25">
      <c r="A59" s="40" t="s">
        <v>20</v>
      </c>
      <c r="B59" s="47" t="str">
        <f>IFERROR(VLOOKUP(A59,'🗂 Interventions'!$A$4:$B$9,2,0),"")</f>
        <v>Seasonal Malaria Chemoprevention</v>
      </c>
      <c r="C59" s="42" t="s">
        <v>82</v>
      </c>
      <c r="D59" s="10" t="s">
        <v>231</v>
      </c>
      <c r="E59" s="8">
        <v>2025</v>
      </c>
      <c r="F59" s="42" t="s">
        <v>218</v>
      </c>
      <c r="G59" s="43">
        <v>0.16</v>
      </c>
      <c r="H59" s="44" t="s">
        <v>170</v>
      </c>
      <c r="I59" s="45"/>
      <c r="J59" s="5"/>
      <c r="K59" s="11">
        <f t="shared" si="6"/>
        <v>0</v>
      </c>
      <c r="L59" s="48" t="str">
        <f t="shared" si="7"/>
        <v/>
      </c>
      <c r="M59" s="42">
        <v>2</v>
      </c>
    </row>
    <row r="60" spans="1:13" ht="25.5" x14ac:dyDescent="0.25">
      <c r="A60" s="40" t="s">
        <v>20</v>
      </c>
      <c r="B60" s="41" t="str">
        <f>IFERROR(VLOOKUP(A60,'🗂 Interventions'!$A$4:$B$9,2,0),"")</f>
        <v>Seasonal Malaria Chemoprevention</v>
      </c>
      <c r="C60" s="42" t="s">
        <v>82</v>
      </c>
      <c r="D60" s="4" t="s">
        <v>232</v>
      </c>
      <c r="E60" s="8">
        <v>2025</v>
      </c>
      <c r="F60" s="42" t="s">
        <v>218</v>
      </c>
      <c r="G60" s="43">
        <v>0.09</v>
      </c>
      <c r="H60" s="44" t="s">
        <v>172</v>
      </c>
      <c r="I60" s="45"/>
      <c r="J60" s="5"/>
      <c r="K60" s="7">
        <f t="shared" si="6"/>
        <v>0</v>
      </c>
      <c r="L60" s="46" t="str">
        <f t="shared" si="7"/>
        <v/>
      </c>
      <c r="M60" s="42">
        <v>2</v>
      </c>
    </row>
    <row r="61" spans="1:13" ht="25.5" x14ac:dyDescent="0.25">
      <c r="A61" s="40" t="s">
        <v>20</v>
      </c>
      <c r="B61" s="47" t="str">
        <f>IFERROR(VLOOKUP(A61,'🗂 Interventions'!$A$4:$B$9,2,0),"")</f>
        <v>Seasonal Malaria Chemoprevention</v>
      </c>
      <c r="C61" s="42" t="s">
        <v>87</v>
      </c>
      <c r="D61" s="10" t="s">
        <v>233</v>
      </c>
      <c r="E61" s="8">
        <v>2025</v>
      </c>
      <c r="F61" s="42" t="s">
        <v>218</v>
      </c>
      <c r="G61" s="43">
        <v>0.06</v>
      </c>
      <c r="H61" s="44" t="s">
        <v>174</v>
      </c>
      <c r="I61" s="45"/>
      <c r="J61" s="5"/>
      <c r="K61" s="11">
        <f t="shared" si="6"/>
        <v>0</v>
      </c>
      <c r="L61" s="48" t="str">
        <f t="shared" si="7"/>
        <v/>
      </c>
      <c r="M61" s="42">
        <v>2</v>
      </c>
    </row>
    <row r="62" spans="1:13" ht="19.5" customHeight="1" x14ac:dyDescent="0.25">
      <c r="A62" s="88" t="s">
        <v>234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</row>
    <row r="63" spans="1:13" ht="25.5" x14ac:dyDescent="0.25">
      <c r="A63" s="40" t="s">
        <v>23</v>
      </c>
      <c r="B63" s="47" t="str">
        <f>IFERROR(VLOOKUP(A63,'🗂 Interventions'!$A$4:$B$9,2,0),"")</f>
        <v>Intermittent Preventive Treatment in School-Aged Children</v>
      </c>
      <c r="C63" s="42" t="s">
        <v>67</v>
      </c>
      <c r="D63" s="10" t="s">
        <v>235</v>
      </c>
      <c r="E63" s="8">
        <v>2025</v>
      </c>
      <c r="F63" s="42" t="s">
        <v>218</v>
      </c>
      <c r="G63" s="43">
        <v>1.46</v>
      </c>
      <c r="H63" s="44" t="s">
        <v>236</v>
      </c>
      <c r="I63" s="45"/>
      <c r="J63" s="5"/>
      <c r="K63" s="11">
        <f t="shared" ref="K63:K71" si="8">IFERROR(G63*J63,"")</f>
        <v>0</v>
      </c>
      <c r="L63" s="48" t="str">
        <f t="shared" ref="L63:L71" si="9">IFERROR(K63/SUMIF($A$6:$A$489,A63,$K$6:$K$489),"")</f>
        <v/>
      </c>
      <c r="M63" s="42">
        <v>3</v>
      </c>
    </row>
    <row r="64" spans="1:13" ht="25.5" x14ac:dyDescent="0.25">
      <c r="A64" s="40" t="s">
        <v>23</v>
      </c>
      <c r="B64" s="41" t="str">
        <f>IFERROR(VLOOKUP(A64,'🗂 Interventions'!$A$4:$B$9,2,0),"")</f>
        <v>Intermittent Preventive Treatment in School-Aged Children</v>
      </c>
      <c r="C64" s="42" t="s">
        <v>67</v>
      </c>
      <c r="D64" s="4" t="s">
        <v>239</v>
      </c>
      <c r="E64" s="8">
        <v>2025</v>
      </c>
      <c r="F64" s="42" t="s">
        <v>218</v>
      </c>
      <c r="G64" s="43">
        <v>0.82</v>
      </c>
      <c r="H64" s="44" t="s">
        <v>240</v>
      </c>
      <c r="I64" s="45"/>
      <c r="J64" s="5"/>
      <c r="K64" s="7">
        <f t="shared" si="8"/>
        <v>0</v>
      </c>
      <c r="L64" s="46" t="str">
        <f t="shared" si="9"/>
        <v/>
      </c>
      <c r="M64" s="42">
        <v>3</v>
      </c>
    </row>
    <row r="65" spans="1:13" ht="25.5" x14ac:dyDescent="0.25">
      <c r="A65" s="40" t="s">
        <v>23</v>
      </c>
      <c r="B65" s="47" t="str">
        <f>IFERROR(VLOOKUP(A65,'🗂 Interventions'!$A$4:$B$9,2,0),"")</f>
        <v>Intermittent Preventive Treatment in School-Aged Children</v>
      </c>
      <c r="C65" s="42" t="s">
        <v>72</v>
      </c>
      <c r="D65" s="10" t="s">
        <v>241</v>
      </c>
      <c r="E65" s="8">
        <v>2025</v>
      </c>
      <c r="F65" s="42" t="s">
        <v>218</v>
      </c>
      <c r="G65" s="43">
        <v>0.14000000000000001</v>
      </c>
      <c r="H65" s="44" t="s">
        <v>223</v>
      </c>
      <c r="I65" s="45"/>
      <c r="J65" s="5"/>
      <c r="K65" s="11">
        <f t="shared" si="8"/>
        <v>0</v>
      </c>
      <c r="L65" s="48" t="str">
        <f t="shared" si="9"/>
        <v/>
      </c>
      <c r="M65" s="42">
        <v>2</v>
      </c>
    </row>
    <row r="66" spans="1:13" ht="25.5" x14ac:dyDescent="0.25">
      <c r="A66" s="40" t="s">
        <v>23</v>
      </c>
      <c r="B66" s="41" t="str">
        <f>IFERROR(VLOOKUP(A66,'🗂 Interventions'!$A$4:$B$9,2,0),"")</f>
        <v>Intermittent Preventive Treatment in School-Aged Children</v>
      </c>
      <c r="C66" s="42" t="s">
        <v>77</v>
      </c>
      <c r="D66" s="4" t="s">
        <v>242</v>
      </c>
      <c r="E66" s="8">
        <v>2025</v>
      </c>
      <c r="F66" s="42" t="s">
        <v>218</v>
      </c>
      <c r="G66" s="43">
        <v>0.28000000000000003</v>
      </c>
      <c r="H66" s="44" t="s">
        <v>243</v>
      </c>
      <c r="I66" s="45"/>
      <c r="J66" s="5"/>
      <c r="K66" s="7">
        <f t="shared" si="8"/>
        <v>0</v>
      </c>
      <c r="L66" s="46" t="str">
        <f t="shared" si="9"/>
        <v/>
      </c>
      <c r="M66" s="42">
        <v>2</v>
      </c>
    </row>
    <row r="67" spans="1:13" ht="25.5" x14ac:dyDescent="0.25">
      <c r="A67" s="40" t="s">
        <v>23</v>
      </c>
      <c r="B67" s="47" t="str">
        <f>IFERROR(VLOOKUP(A67,'🗂 Interventions'!$A$4:$B$9,2,0),"")</f>
        <v>Intermittent Preventive Treatment in School-Aged Children</v>
      </c>
      <c r="C67" s="42" t="s">
        <v>77</v>
      </c>
      <c r="D67" s="10" t="s">
        <v>244</v>
      </c>
      <c r="E67" s="8">
        <v>2025</v>
      </c>
      <c r="F67" s="42" t="s">
        <v>218</v>
      </c>
      <c r="G67" s="43">
        <v>0.08</v>
      </c>
      <c r="H67" s="44" t="s">
        <v>228</v>
      </c>
      <c r="I67" s="45"/>
      <c r="J67" s="5"/>
      <c r="K67" s="11">
        <f t="shared" si="8"/>
        <v>0</v>
      </c>
      <c r="L67" s="48" t="str">
        <f t="shared" si="9"/>
        <v/>
      </c>
      <c r="M67" s="42">
        <v>2</v>
      </c>
    </row>
    <row r="68" spans="1:13" ht="25.5" x14ac:dyDescent="0.25">
      <c r="A68" s="40" t="s">
        <v>23</v>
      </c>
      <c r="B68" s="41" t="str">
        <f>IFERROR(VLOOKUP(A68,'🗂 Interventions'!$A$4:$B$9,2,0),"")</f>
        <v>Intermittent Preventive Treatment in School-Aged Children</v>
      </c>
      <c r="C68" s="42" t="s">
        <v>77</v>
      </c>
      <c r="D68" s="4" t="s">
        <v>245</v>
      </c>
      <c r="E68" s="8">
        <v>2025</v>
      </c>
      <c r="F68" s="42" t="s">
        <v>218</v>
      </c>
      <c r="G68" s="43">
        <v>0.11</v>
      </c>
      <c r="H68" s="44" t="s">
        <v>246</v>
      </c>
      <c r="I68" s="45"/>
      <c r="J68" s="5"/>
      <c r="K68" s="7">
        <f t="shared" si="8"/>
        <v>0</v>
      </c>
      <c r="L68" s="46" t="str">
        <f t="shared" si="9"/>
        <v/>
      </c>
      <c r="M68" s="42">
        <v>2</v>
      </c>
    </row>
    <row r="69" spans="1:13" ht="25.5" x14ac:dyDescent="0.25">
      <c r="A69" s="40" t="s">
        <v>23</v>
      </c>
      <c r="B69" s="47" t="str">
        <f>IFERROR(VLOOKUP(A69,'🗂 Interventions'!$A$4:$B$9,2,0),"")</f>
        <v>Intermittent Preventive Treatment in School-Aged Children</v>
      </c>
      <c r="C69" s="42" t="s">
        <v>82</v>
      </c>
      <c r="D69" s="10" t="s">
        <v>247</v>
      </c>
      <c r="E69" s="8">
        <v>2025</v>
      </c>
      <c r="F69" s="42" t="s">
        <v>218</v>
      </c>
      <c r="G69" s="43">
        <v>0.17</v>
      </c>
      <c r="H69" s="44" t="s">
        <v>170</v>
      </c>
      <c r="I69" s="45"/>
      <c r="J69" s="5"/>
      <c r="K69" s="11">
        <f t="shared" si="8"/>
        <v>0</v>
      </c>
      <c r="L69" s="48" t="str">
        <f t="shared" si="9"/>
        <v/>
      </c>
      <c r="M69" s="42">
        <v>2</v>
      </c>
    </row>
    <row r="70" spans="1:13" ht="25.5" x14ac:dyDescent="0.25">
      <c r="A70" s="40" t="s">
        <v>23</v>
      </c>
      <c r="B70" s="41" t="str">
        <f>IFERROR(VLOOKUP(A70,'🗂 Interventions'!$A$4:$B$9,2,0),"")</f>
        <v>Intermittent Preventive Treatment in School-Aged Children</v>
      </c>
      <c r="C70" s="42" t="s">
        <v>82</v>
      </c>
      <c r="D70" s="4" t="s">
        <v>248</v>
      </c>
      <c r="E70" s="8">
        <v>2025</v>
      </c>
      <c r="F70" s="42" t="s">
        <v>218</v>
      </c>
      <c r="G70" s="43">
        <v>0.08</v>
      </c>
      <c r="H70" s="44" t="s">
        <v>172</v>
      </c>
      <c r="I70" s="45"/>
      <c r="J70" s="5"/>
      <c r="K70" s="7">
        <f t="shared" si="8"/>
        <v>0</v>
      </c>
      <c r="L70" s="46" t="str">
        <f t="shared" si="9"/>
        <v/>
      </c>
      <c r="M70" s="42">
        <v>2</v>
      </c>
    </row>
    <row r="71" spans="1:13" ht="25.5" x14ac:dyDescent="0.25">
      <c r="A71" s="40" t="s">
        <v>23</v>
      </c>
      <c r="B71" s="47" t="str">
        <f>IFERROR(VLOOKUP(A71,'🗂 Interventions'!$A$4:$B$9,2,0),"")</f>
        <v>Intermittent Preventive Treatment in School-Aged Children</v>
      </c>
      <c r="C71" s="42" t="s">
        <v>87</v>
      </c>
      <c r="D71" s="10" t="s">
        <v>249</v>
      </c>
      <c r="E71" s="8">
        <v>2025</v>
      </c>
      <c r="F71" s="42" t="s">
        <v>218</v>
      </c>
      <c r="G71" s="43">
        <v>0.06</v>
      </c>
      <c r="H71" s="44" t="s">
        <v>250</v>
      </c>
      <c r="I71" s="45"/>
      <c r="J71" s="5"/>
      <c r="K71" s="11">
        <f t="shared" si="8"/>
        <v>0</v>
      </c>
      <c r="L71" s="48" t="str">
        <f t="shared" si="9"/>
        <v/>
      </c>
      <c r="M71" s="42">
        <v>2</v>
      </c>
    </row>
    <row r="72" spans="1:13" ht="19.5" customHeight="1" x14ac:dyDescent="0.25">
      <c r="A72" s="83" t="s">
        <v>251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</row>
    <row r="73" spans="1:13" ht="36" x14ac:dyDescent="0.25">
      <c r="A73" s="40" t="s">
        <v>26</v>
      </c>
      <c r="B73" s="47" t="str">
        <f>IFERROR(VLOOKUP(A73,'🗂 Interventions'!$A$4:$B$9,2,0),"")</f>
        <v>Malaria Vaccine (RTS,S / R21)</v>
      </c>
      <c r="C73" s="42" t="s">
        <v>67</v>
      </c>
      <c r="D73" s="10" t="s">
        <v>252</v>
      </c>
      <c r="E73" s="8">
        <v>2025</v>
      </c>
      <c r="F73" s="42" t="s">
        <v>218</v>
      </c>
      <c r="G73" s="43">
        <v>9.5</v>
      </c>
      <c r="H73" s="44" t="s">
        <v>253</v>
      </c>
      <c r="I73" s="45"/>
      <c r="J73" s="5"/>
      <c r="K73" s="11">
        <f t="shared" ref="K73:K78" si="10">IFERROR(G73*J73,"")</f>
        <v>0</v>
      </c>
      <c r="L73" s="48" t="str">
        <f t="shared" ref="L73:L78" si="11">IFERROR(K73/SUMIF($A$6:$A$489,A73,$K$6:$K$489),"")</f>
        <v/>
      </c>
      <c r="M73" s="42">
        <v>3</v>
      </c>
    </row>
    <row r="74" spans="1:13" ht="25.5" x14ac:dyDescent="0.25">
      <c r="A74" s="40" t="s">
        <v>26</v>
      </c>
      <c r="B74" s="47" t="str">
        <f>IFERROR(VLOOKUP(A74,'🗂 Interventions'!$A$4:$B$9,2,0),"")</f>
        <v>Malaria Vaccine (RTS,S / R21)</v>
      </c>
      <c r="C74" s="42" t="s">
        <v>67</v>
      </c>
      <c r="D74" s="10" t="s">
        <v>258</v>
      </c>
      <c r="E74" s="8">
        <v>2026</v>
      </c>
      <c r="F74" s="42" t="s">
        <v>218</v>
      </c>
      <c r="G74" s="43">
        <v>3.9</v>
      </c>
      <c r="H74" s="44" t="s">
        <v>259</v>
      </c>
      <c r="I74" s="45"/>
      <c r="J74" s="5"/>
      <c r="K74" s="11">
        <f t="shared" si="10"/>
        <v>0</v>
      </c>
      <c r="L74" s="48" t="str">
        <f t="shared" si="11"/>
        <v/>
      </c>
      <c r="M74" s="42">
        <v>3</v>
      </c>
    </row>
    <row r="75" spans="1:13" ht="25.5" x14ac:dyDescent="0.25">
      <c r="A75" s="40" t="s">
        <v>26</v>
      </c>
      <c r="B75" s="47" t="str">
        <f>IFERROR(VLOOKUP(A75,'🗂 Interventions'!$A$4:$B$9,2,0),"")</f>
        <v>Malaria Vaccine (RTS,S / R21)</v>
      </c>
      <c r="C75" s="42" t="s">
        <v>67</v>
      </c>
      <c r="D75" s="10" t="s">
        <v>264</v>
      </c>
      <c r="E75" s="8">
        <v>2026</v>
      </c>
      <c r="F75" s="42" t="s">
        <v>218</v>
      </c>
      <c r="G75" s="43">
        <v>0.22</v>
      </c>
      <c r="H75" s="44" t="s">
        <v>265</v>
      </c>
      <c r="I75" s="45"/>
      <c r="J75" s="5"/>
      <c r="K75" s="11">
        <f t="shared" si="10"/>
        <v>0</v>
      </c>
      <c r="L75" s="48" t="str">
        <f t="shared" si="11"/>
        <v/>
      </c>
      <c r="M75" s="42">
        <v>2</v>
      </c>
    </row>
    <row r="76" spans="1:13" ht="16.5" customHeight="1" x14ac:dyDescent="0.25">
      <c r="A76" s="40" t="s">
        <v>26</v>
      </c>
      <c r="B76" s="41" t="str">
        <f>IFERROR(VLOOKUP(A76,'🗂 Interventions'!$A$4:$B$9,2,0),"")</f>
        <v>Malaria Vaccine (RTS,S / R21)</v>
      </c>
      <c r="C76" s="42" t="s">
        <v>67</v>
      </c>
      <c r="D76" s="4" t="s">
        <v>266</v>
      </c>
      <c r="E76" s="8">
        <v>2026</v>
      </c>
      <c r="F76" s="42" t="s">
        <v>218</v>
      </c>
      <c r="G76" s="43">
        <v>0.09</v>
      </c>
      <c r="H76" s="44" t="s">
        <v>265</v>
      </c>
      <c r="I76" s="45"/>
      <c r="J76" s="5"/>
      <c r="K76" s="7">
        <f t="shared" si="10"/>
        <v>0</v>
      </c>
      <c r="L76" s="46" t="str">
        <f t="shared" si="11"/>
        <v/>
      </c>
      <c r="M76" s="42">
        <v>2</v>
      </c>
    </row>
    <row r="77" spans="1:13" ht="25.5" x14ac:dyDescent="0.25">
      <c r="A77" s="40" t="s">
        <v>26</v>
      </c>
      <c r="B77" s="47" t="str">
        <f>IFERROR(VLOOKUP(A77,'🗂 Interventions'!$A$4:$B$9,2,0),"")</f>
        <v>Malaria Vaccine (RTS,S / R21)</v>
      </c>
      <c r="C77" s="42" t="s">
        <v>72</v>
      </c>
      <c r="D77" s="10" t="s">
        <v>267</v>
      </c>
      <c r="E77" s="8">
        <v>2026</v>
      </c>
      <c r="F77" s="42" t="s">
        <v>218</v>
      </c>
      <c r="G77" s="43">
        <v>1.1499999999999999</v>
      </c>
      <c r="H77" s="44" t="s">
        <v>268</v>
      </c>
      <c r="I77" s="45"/>
      <c r="J77" s="5"/>
      <c r="K77" s="11">
        <f t="shared" si="10"/>
        <v>0</v>
      </c>
      <c r="L77" s="48" t="str">
        <f t="shared" si="11"/>
        <v/>
      </c>
      <c r="M77" s="42">
        <v>2</v>
      </c>
    </row>
    <row r="78" spans="1:13" ht="25.5" x14ac:dyDescent="0.25">
      <c r="A78" s="40" t="s">
        <v>26</v>
      </c>
      <c r="B78" s="41" t="str">
        <f>IFERROR(VLOOKUP(A78,'🗂 Interventions'!$A$4:$B$9,2,0),"")</f>
        <v>Malaria Vaccine (RTS,S / R21)</v>
      </c>
      <c r="C78" s="42" t="s">
        <v>72</v>
      </c>
      <c r="D78" s="4" t="s">
        <v>269</v>
      </c>
      <c r="E78" s="8">
        <v>2026</v>
      </c>
      <c r="F78" s="42" t="s">
        <v>218</v>
      </c>
      <c r="G78" s="43">
        <v>0.32</v>
      </c>
      <c r="H78" s="44" t="s">
        <v>182</v>
      </c>
      <c r="I78" s="45"/>
      <c r="J78" s="5"/>
      <c r="K78" s="7">
        <f t="shared" si="10"/>
        <v>0</v>
      </c>
      <c r="L78" s="46" t="str">
        <f t="shared" si="11"/>
        <v/>
      </c>
      <c r="M78" s="42">
        <v>2</v>
      </c>
    </row>
  </sheetData>
  <mergeCells count="12">
    <mergeCell ref="A1:M1"/>
    <mergeCell ref="A2:M2"/>
    <mergeCell ref="A3:E3"/>
    <mergeCell ref="F3:G3"/>
    <mergeCell ref="H3:I3"/>
    <mergeCell ref="J3:L3"/>
    <mergeCell ref="A72:M72"/>
    <mergeCell ref="A6:M6"/>
    <mergeCell ref="A23:M23"/>
    <mergeCell ref="A34:M34"/>
    <mergeCell ref="A50:M50"/>
    <mergeCell ref="A62:M62"/>
  </mergeCells>
  <conditionalFormatting sqref="G6:G78">
    <cfRule type="expression" dxfId="0" priority="2">
      <formula>AND(G6=0,G6&lt;&gt;"")</formula>
    </cfRule>
  </conditionalFormatting>
  <dataValidations count="2">
    <dataValidation type="list" sqref="C6:C78" xr:uid="{00000000-0002-0000-0400-000000000000}">
      <formula1>"PROC,DIST,OPS,SUPP,M&amp;E,COM,ADMIN,OTHER"</formula1>
      <formula2>0</formula2>
    </dataValidation>
    <dataValidation type="list" sqref="M6:M78" xr:uid="{00000000-0002-0000-04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B2:M23"/>
  <sheetViews>
    <sheetView showGridLines="0" topLeftCell="A6" zoomScaleNormal="100" workbookViewId="0"/>
  </sheetViews>
  <sheetFormatPr defaultColWidth="8.5703125" defaultRowHeight="15" x14ac:dyDescent="0.25"/>
  <cols>
    <col min="1" max="1" width="2" customWidth="1"/>
    <col min="2" max="14" width="12" customWidth="1"/>
  </cols>
  <sheetData>
    <row r="2" spans="2:13" ht="39.75" customHeight="1" x14ac:dyDescent="0.25">
      <c r="B2" s="101" t="s">
        <v>270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2:13" ht="21.75" customHeight="1" x14ac:dyDescent="0.25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2:13" ht="21.75" customHeight="1" x14ac:dyDescent="0.25"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</row>
    <row r="5" spans="2:13" ht="21.75" customHeight="1" x14ac:dyDescent="0.25"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</row>
    <row r="6" spans="2:13" ht="15" customHeight="1" x14ac:dyDescent="0.25">
      <c r="B6" s="102" t="s">
        <v>271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spans="2:13" ht="15" customHeight="1" x14ac:dyDescent="0.25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9" spans="2:13" ht="23.25" customHeight="1" x14ac:dyDescent="0.25">
      <c r="B9" s="103" t="s">
        <v>272</v>
      </c>
      <c r="C9" s="103"/>
      <c r="D9" s="95" t="s">
        <v>273</v>
      </c>
      <c r="E9" s="95"/>
      <c r="F9" s="82" t="s">
        <v>274</v>
      </c>
      <c r="G9" s="82"/>
      <c r="H9" s="104" t="s">
        <v>275</v>
      </c>
      <c r="I9" s="104"/>
      <c r="J9" s="105" t="s">
        <v>276</v>
      </c>
      <c r="K9" s="105"/>
      <c r="L9" s="106" t="s">
        <v>277</v>
      </c>
      <c r="M9" s="106"/>
    </row>
    <row r="10" spans="2:13" ht="15" customHeight="1" x14ac:dyDescent="0.25">
      <c r="B10" s="96" t="s">
        <v>278</v>
      </c>
      <c r="C10" s="96"/>
      <c r="D10" s="97" t="s">
        <v>279</v>
      </c>
      <c r="E10" s="97"/>
      <c r="F10" s="98" t="s">
        <v>280</v>
      </c>
      <c r="G10" s="98"/>
      <c r="H10" s="99" t="s">
        <v>281</v>
      </c>
      <c r="I10" s="99"/>
      <c r="J10" s="100" t="s">
        <v>282</v>
      </c>
      <c r="K10" s="100"/>
      <c r="L10" s="94" t="s">
        <v>283</v>
      </c>
      <c r="M10" s="94"/>
    </row>
    <row r="11" spans="2:13" ht="15" customHeight="1" x14ac:dyDescent="0.25">
      <c r="B11" s="96"/>
      <c r="C11" s="96"/>
      <c r="D11" s="97"/>
      <c r="E11" s="97"/>
      <c r="F11" s="98"/>
      <c r="G11" s="98"/>
      <c r="H11" s="99"/>
      <c r="I11" s="99"/>
      <c r="J11" s="100"/>
      <c r="K11" s="100"/>
      <c r="L11" s="94"/>
      <c r="M11" s="94"/>
    </row>
    <row r="13" spans="2:13" ht="15" customHeight="1" x14ac:dyDescent="0.25">
      <c r="B13" s="95" t="s">
        <v>284</v>
      </c>
      <c r="C13" s="95"/>
      <c r="D13" s="95"/>
    </row>
    <row r="14" spans="2:13" ht="18" customHeight="1" x14ac:dyDescent="0.25">
      <c r="B14" s="49" t="s">
        <v>285</v>
      </c>
      <c r="C14" s="92"/>
      <c r="D14" s="92"/>
    </row>
    <row r="15" spans="2:13" ht="18" customHeight="1" x14ac:dyDescent="0.25">
      <c r="B15" s="49" t="s">
        <v>286</v>
      </c>
      <c r="C15" s="92" t="s">
        <v>287</v>
      </c>
      <c r="D15" s="92"/>
    </row>
    <row r="16" spans="2:13" ht="18" customHeight="1" x14ac:dyDescent="0.25">
      <c r="B16" s="49" t="s">
        <v>288</v>
      </c>
      <c r="C16" s="92">
        <v>2025</v>
      </c>
      <c r="D16" s="92"/>
    </row>
    <row r="17" spans="2:13" ht="18" customHeight="1" x14ac:dyDescent="0.25">
      <c r="B17" s="49" t="s">
        <v>289</v>
      </c>
      <c r="C17" s="92" t="s">
        <v>290</v>
      </c>
      <c r="D17" s="92"/>
    </row>
    <row r="18" spans="2:13" ht="18" customHeight="1" x14ac:dyDescent="0.25">
      <c r="B18" s="49" t="s">
        <v>291</v>
      </c>
      <c r="C18" s="92"/>
      <c r="D18" s="92"/>
    </row>
    <row r="19" spans="2:13" ht="18" customHeight="1" x14ac:dyDescent="0.25">
      <c r="B19" s="49" t="s">
        <v>292</v>
      </c>
      <c r="C19" s="92"/>
      <c r="D19" s="92"/>
    </row>
    <row r="20" spans="2:13" ht="18" customHeight="1" x14ac:dyDescent="0.25">
      <c r="B20" s="49" t="s">
        <v>293</v>
      </c>
      <c r="C20" s="92" t="s">
        <v>294</v>
      </c>
      <c r="D20" s="92"/>
    </row>
    <row r="22" spans="2:13" ht="15" customHeight="1" x14ac:dyDescent="0.25">
      <c r="B22" s="93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</row>
    <row r="23" spans="2:13" ht="15" customHeight="1" x14ac:dyDescent="0.25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</row>
  </sheetData>
  <mergeCells count="23">
    <mergeCell ref="B2:M5"/>
    <mergeCell ref="B6:M7"/>
    <mergeCell ref="B9:C9"/>
    <mergeCell ref="D9:E9"/>
    <mergeCell ref="F9:G9"/>
    <mergeCell ref="H9:I9"/>
    <mergeCell ref="J9:K9"/>
    <mergeCell ref="L9:M9"/>
    <mergeCell ref="L10:M11"/>
    <mergeCell ref="B13:D13"/>
    <mergeCell ref="C14:D14"/>
    <mergeCell ref="C15:D15"/>
    <mergeCell ref="C16:D16"/>
    <mergeCell ref="B10:C11"/>
    <mergeCell ref="D10:E11"/>
    <mergeCell ref="F10:G11"/>
    <mergeCell ref="H10:I11"/>
    <mergeCell ref="J10:K11"/>
    <mergeCell ref="C17:D17"/>
    <mergeCell ref="C18:D18"/>
    <mergeCell ref="C19:D19"/>
    <mergeCell ref="C20:D20"/>
    <mergeCell ref="B22:M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I10"/>
  <sheetViews>
    <sheetView showGridLines="0" zoomScaleNormal="100" workbookViewId="0">
      <selection sqref="A1:I1"/>
    </sheetView>
  </sheetViews>
  <sheetFormatPr defaultColWidth="8.5703125" defaultRowHeight="15" x14ac:dyDescent="0.25"/>
  <cols>
    <col min="1" max="1" width="10" customWidth="1"/>
    <col min="2" max="2" width="34" customWidth="1"/>
    <col min="3" max="3" width="8" customWidth="1"/>
    <col min="4" max="5" width="20" customWidth="1"/>
    <col min="6" max="6" width="14" customWidth="1"/>
    <col min="7" max="7" width="16" customWidth="1"/>
    <col min="8" max="9" width="20" customWidth="1"/>
  </cols>
  <sheetData>
    <row r="1" spans="1:9" ht="27.75" customHeight="1" x14ac:dyDescent="0.25">
      <c r="A1" s="78" t="s">
        <v>296</v>
      </c>
      <c r="B1" s="78"/>
      <c r="C1" s="78"/>
      <c r="D1" s="78"/>
      <c r="E1" s="78"/>
      <c r="F1" s="78"/>
      <c r="G1" s="78"/>
      <c r="H1" s="78"/>
      <c r="I1" s="78"/>
    </row>
    <row r="2" spans="1:9" ht="15" customHeight="1" x14ac:dyDescent="0.25">
      <c r="A2" s="80" t="s">
        <v>297</v>
      </c>
      <c r="B2" s="80"/>
      <c r="C2" s="80"/>
      <c r="D2" s="80"/>
      <c r="E2" s="80"/>
      <c r="F2" s="80"/>
      <c r="G2" s="80"/>
      <c r="H2" s="80"/>
      <c r="I2" s="80"/>
    </row>
    <row r="4" spans="1:9" ht="39.75" customHeight="1" x14ac:dyDescent="0.25">
      <c r="A4" s="1" t="s">
        <v>2</v>
      </c>
      <c r="B4" s="1" t="s">
        <v>3</v>
      </c>
      <c r="C4" s="1" t="s">
        <v>10</v>
      </c>
      <c r="D4" s="1" t="s">
        <v>298</v>
      </c>
      <c r="E4" s="1" t="s">
        <v>5</v>
      </c>
      <c r="F4" s="1" t="s">
        <v>299</v>
      </c>
      <c r="G4" s="1" t="s">
        <v>300</v>
      </c>
      <c r="H4" s="1" t="s">
        <v>301</v>
      </c>
      <c r="I4" s="1" t="s">
        <v>302</v>
      </c>
    </row>
    <row r="5" spans="1:9" ht="15" customHeight="1" x14ac:dyDescent="0.25">
      <c r="A5" s="28" t="s">
        <v>11</v>
      </c>
      <c r="B5" s="4" t="s">
        <v>12</v>
      </c>
      <c r="C5" s="8">
        <v>2025</v>
      </c>
      <c r="D5" s="50">
        <f>IFERROR('📊 Summary'!I6,"")</f>
        <v>0</v>
      </c>
      <c r="E5" s="50">
        <f>IFERROR('⚙ Assumptions'!D5,"")</f>
        <v>2817703</v>
      </c>
      <c r="F5" s="51">
        <f>IFERROR('⚙ Assumptions'!E5,"")</f>
        <v>1</v>
      </c>
      <c r="G5" s="29">
        <f t="shared" ref="G5:G10" si="0">IFERROR(E5*F5,"")</f>
        <v>2817703</v>
      </c>
      <c r="H5" s="31">
        <f t="shared" ref="H5:H10" si="1">IFERROR(D5/E5,"")</f>
        <v>0</v>
      </c>
      <c r="I5" s="31">
        <f t="shared" ref="I5:I10" si="2">IFERROR(D5/G5,"")</f>
        <v>0</v>
      </c>
    </row>
    <row r="6" spans="1:9" ht="23.25" customHeight="1" x14ac:dyDescent="0.25">
      <c r="A6" s="24" t="s">
        <v>14</v>
      </c>
      <c r="B6" s="10" t="s">
        <v>15</v>
      </c>
      <c r="C6" s="8">
        <v>2025</v>
      </c>
      <c r="D6" s="52">
        <f>IFERROR('📊 Summary'!I7,"")</f>
        <v>0</v>
      </c>
      <c r="E6" s="52">
        <f>IFERROR('⚙ Assumptions'!D6,"")</f>
        <v>232179</v>
      </c>
      <c r="F6" s="53">
        <f>IFERROR('⚙ Assumptions'!E6,"")</f>
        <v>1</v>
      </c>
      <c r="G6" s="25">
        <f t="shared" si="0"/>
        <v>232179</v>
      </c>
      <c r="H6" s="27">
        <f t="shared" si="1"/>
        <v>0</v>
      </c>
      <c r="I6" s="27">
        <f t="shared" si="2"/>
        <v>0</v>
      </c>
    </row>
    <row r="7" spans="1:9" ht="15" customHeight="1" x14ac:dyDescent="0.25">
      <c r="A7" s="28" t="s">
        <v>17</v>
      </c>
      <c r="B7" s="4" t="s">
        <v>18</v>
      </c>
      <c r="C7" s="8">
        <v>2025</v>
      </c>
      <c r="D7" s="50">
        <f>IFERROR('📊 Summary'!I8,"")</f>
        <v>0</v>
      </c>
      <c r="E7" s="50">
        <f>IFERROR('⚙ Assumptions'!D7,"")</f>
        <v>0</v>
      </c>
      <c r="F7" s="51">
        <f>IFERROR('⚙ Assumptions'!E7,"")</f>
        <v>0.85</v>
      </c>
      <c r="G7" s="29">
        <f t="shared" si="0"/>
        <v>0</v>
      </c>
      <c r="H7" s="31" t="str">
        <f t="shared" si="1"/>
        <v/>
      </c>
      <c r="I7" s="31" t="str">
        <f t="shared" si="2"/>
        <v/>
      </c>
    </row>
    <row r="8" spans="1:9" ht="15" customHeight="1" x14ac:dyDescent="0.25">
      <c r="A8" s="24" t="s">
        <v>20</v>
      </c>
      <c r="B8" s="10" t="s">
        <v>21</v>
      </c>
      <c r="C8" s="8">
        <v>2025</v>
      </c>
      <c r="D8" s="52">
        <f>IFERROR('📊 Summary'!I9,"")</f>
        <v>0</v>
      </c>
      <c r="E8" s="52">
        <f>IFERROR('⚙ Assumptions'!D8,"")</f>
        <v>307316</v>
      </c>
      <c r="F8" s="53">
        <f>IFERROR('⚙ Assumptions'!E8,"")</f>
        <v>1</v>
      </c>
      <c r="G8" s="25">
        <f t="shared" si="0"/>
        <v>307316</v>
      </c>
      <c r="H8" s="27">
        <f t="shared" si="1"/>
        <v>0</v>
      </c>
      <c r="I8" s="27">
        <f t="shared" si="2"/>
        <v>0</v>
      </c>
    </row>
    <row r="9" spans="1:9" ht="23.25" customHeight="1" x14ac:dyDescent="0.25">
      <c r="A9" s="28" t="s">
        <v>23</v>
      </c>
      <c r="B9" s="4" t="s">
        <v>24</v>
      </c>
      <c r="C9" s="8">
        <v>2025</v>
      </c>
      <c r="D9" s="50">
        <f>IFERROR('📊 Summary'!I10,"")</f>
        <v>0</v>
      </c>
      <c r="E9" s="50">
        <f>IFERROR('⚙ Assumptions'!D9,"")</f>
        <v>0</v>
      </c>
      <c r="F9" s="51">
        <f>IFERROR('⚙ Assumptions'!E9,"")</f>
        <v>0.85</v>
      </c>
      <c r="G9" s="29">
        <f t="shared" si="0"/>
        <v>0</v>
      </c>
      <c r="H9" s="31" t="str">
        <f t="shared" si="1"/>
        <v/>
      </c>
      <c r="I9" s="31" t="str">
        <f t="shared" si="2"/>
        <v/>
      </c>
    </row>
    <row r="10" spans="1:9" ht="15" customHeight="1" x14ac:dyDescent="0.25">
      <c r="A10" s="24" t="s">
        <v>26</v>
      </c>
      <c r="B10" s="10" t="s">
        <v>27</v>
      </c>
      <c r="C10" s="8">
        <v>2025</v>
      </c>
      <c r="D10" s="52">
        <f>IFERROR('📊 Summary'!I11,"")</f>
        <v>0</v>
      </c>
      <c r="E10" s="52">
        <f>IFERROR('⚙ Assumptions'!D10,"")</f>
        <v>0</v>
      </c>
      <c r="F10" s="53">
        <f>IFERROR('⚙ Assumptions'!E10,"")</f>
        <v>0.85</v>
      </c>
      <c r="G10" s="25">
        <f t="shared" si="0"/>
        <v>0</v>
      </c>
      <c r="H10" s="27" t="str">
        <f t="shared" si="1"/>
        <v/>
      </c>
      <c r="I10" s="27" t="str">
        <f t="shared" si="2"/>
        <v/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7AE60"/>
  </sheetPr>
  <dimension ref="A1:G15"/>
  <sheetViews>
    <sheetView showGridLines="0" zoomScaleNormal="100" workbookViewId="0">
      <selection sqref="A1:G1"/>
    </sheetView>
  </sheetViews>
  <sheetFormatPr defaultColWidth="8.5703125" defaultRowHeight="15" x14ac:dyDescent="0.25"/>
  <cols>
    <col min="1" max="1" width="12" customWidth="1"/>
    <col min="2" max="2" width="34" customWidth="1"/>
    <col min="3" max="3" width="26" customWidth="1"/>
    <col min="4" max="4" width="38" customWidth="1"/>
    <col min="5" max="6" width="14" customWidth="1"/>
    <col min="7" max="7" width="36" customWidth="1"/>
  </cols>
  <sheetData>
    <row r="1" spans="1:7" ht="27.75" customHeight="1" x14ac:dyDescent="0.25">
      <c r="A1" s="78" t="s">
        <v>303</v>
      </c>
      <c r="B1" s="78"/>
      <c r="C1" s="78"/>
      <c r="D1" s="78"/>
      <c r="E1" s="78"/>
      <c r="F1" s="78"/>
      <c r="G1" s="78"/>
    </row>
    <row r="2" spans="1:7" ht="15" customHeight="1" x14ac:dyDescent="0.25">
      <c r="A2" s="107" t="s">
        <v>304</v>
      </c>
      <c r="B2" s="107"/>
      <c r="C2" s="107"/>
      <c r="D2" s="107"/>
      <c r="E2" s="107"/>
      <c r="F2" s="107"/>
      <c r="G2" s="107"/>
    </row>
    <row r="4" spans="1:7" ht="21.75" customHeight="1" x14ac:dyDescent="0.25">
      <c r="A4" s="1" t="s">
        <v>305</v>
      </c>
      <c r="B4" s="1" t="s">
        <v>306</v>
      </c>
      <c r="C4" s="1" t="s">
        <v>307</v>
      </c>
      <c r="D4" s="1" t="s">
        <v>308</v>
      </c>
      <c r="E4" s="1" t="s">
        <v>309</v>
      </c>
      <c r="F4" s="1" t="s">
        <v>310</v>
      </c>
      <c r="G4" s="1" t="s">
        <v>311</v>
      </c>
    </row>
    <row r="5" spans="1:7" ht="23.25" customHeight="1" x14ac:dyDescent="0.25">
      <c r="A5" s="4" t="s">
        <v>11</v>
      </c>
      <c r="B5" s="4" t="s">
        <v>312</v>
      </c>
      <c r="C5" s="4" t="s">
        <v>313</v>
      </c>
      <c r="D5" s="4" t="s">
        <v>314</v>
      </c>
      <c r="E5" s="4" t="s">
        <v>315</v>
      </c>
      <c r="F5" s="4" t="s">
        <v>316</v>
      </c>
      <c r="G5" s="4" t="s">
        <v>317</v>
      </c>
    </row>
    <row r="6" spans="1:7" ht="23.25" customHeight="1" x14ac:dyDescent="0.25">
      <c r="A6" s="10" t="s">
        <v>11</v>
      </c>
      <c r="B6" s="10" t="s">
        <v>318</v>
      </c>
      <c r="C6" s="10" t="s">
        <v>313</v>
      </c>
      <c r="D6" s="10" t="s">
        <v>319</v>
      </c>
      <c r="E6" s="10" t="s">
        <v>315</v>
      </c>
      <c r="F6" s="10" t="s">
        <v>316</v>
      </c>
      <c r="G6" s="10" t="s">
        <v>320</v>
      </c>
    </row>
    <row r="7" spans="1:7" ht="23.25" customHeight="1" x14ac:dyDescent="0.25">
      <c r="A7" s="4" t="s">
        <v>11</v>
      </c>
      <c r="B7" s="4" t="s">
        <v>321</v>
      </c>
      <c r="C7" s="4" t="s">
        <v>313</v>
      </c>
      <c r="D7" s="4" t="s">
        <v>319</v>
      </c>
      <c r="E7" s="4" t="s">
        <v>315</v>
      </c>
      <c r="F7" s="4" t="s">
        <v>316</v>
      </c>
      <c r="G7" s="4" t="s">
        <v>322</v>
      </c>
    </row>
    <row r="8" spans="1:7" ht="23.25" customHeight="1" x14ac:dyDescent="0.25">
      <c r="A8" s="10" t="s">
        <v>11</v>
      </c>
      <c r="B8" s="10" t="s">
        <v>323</v>
      </c>
      <c r="C8" s="10" t="s">
        <v>176</v>
      </c>
      <c r="D8" s="10" t="s">
        <v>324</v>
      </c>
      <c r="E8" s="10" t="s">
        <v>325</v>
      </c>
      <c r="F8" s="10" t="s">
        <v>326</v>
      </c>
      <c r="G8" s="10" t="s">
        <v>327</v>
      </c>
    </row>
    <row r="9" spans="1:7" ht="23.25" customHeight="1" x14ac:dyDescent="0.25">
      <c r="A9" s="4" t="s">
        <v>17</v>
      </c>
      <c r="B9" s="4" t="s">
        <v>328</v>
      </c>
      <c r="C9" s="4" t="s">
        <v>329</v>
      </c>
      <c r="D9" s="4" t="s">
        <v>330</v>
      </c>
      <c r="E9" s="4" t="s">
        <v>331</v>
      </c>
      <c r="F9" s="4" t="s">
        <v>326</v>
      </c>
      <c r="G9" s="4" t="s">
        <v>332</v>
      </c>
    </row>
    <row r="10" spans="1:7" ht="23.25" customHeight="1" x14ac:dyDescent="0.25">
      <c r="A10" s="10" t="s">
        <v>20</v>
      </c>
      <c r="B10" s="10" t="s">
        <v>333</v>
      </c>
      <c r="C10" s="10" t="s">
        <v>313</v>
      </c>
      <c r="D10" s="10" t="s">
        <v>334</v>
      </c>
      <c r="E10" s="10" t="s">
        <v>315</v>
      </c>
      <c r="F10" s="10" t="s">
        <v>316</v>
      </c>
      <c r="G10" s="10" t="s">
        <v>335</v>
      </c>
    </row>
    <row r="11" spans="1:7" ht="23.25" customHeight="1" x14ac:dyDescent="0.25">
      <c r="A11" s="4" t="s">
        <v>20</v>
      </c>
      <c r="B11" s="4" t="s">
        <v>336</v>
      </c>
      <c r="C11" s="4" t="s">
        <v>313</v>
      </c>
      <c r="D11" s="4" t="s">
        <v>337</v>
      </c>
      <c r="E11" s="4" t="s">
        <v>315</v>
      </c>
      <c r="F11" s="4" t="s">
        <v>316</v>
      </c>
      <c r="G11" s="4" t="s">
        <v>338</v>
      </c>
    </row>
    <row r="12" spans="1:7" ht="23.25" customHeight="1" x14ac:dyDescent="0.25">
      <c r="A12" s="10" t="s">
        <v>23</v>
      </c>
      <c r="B12" s="10" t="s">
        <v>339</v>
      </c>
      <c r="C12" s="10" t="s">
        <v>313</v>
      </c>
      <c r="D12" s="10" t="s">
        <v>334</v>
      </c>
      <c r="E12" s="10" t="s">
        <v>315</v>
      </c>
      <c r="F12" s="10" t="s">
        <v>316</v>
      </c>
      <c r="G12" s="10" t="s">
        <v>340</v>
      </c>
    </row>
    <row r="13" spans="1:7" ht="34.5" customHeight="1" x14ac:dyDescent="0.25">
      <c r="A13" s="4" t="s">
        <v>26</v>
      </c>
      <c r="B13" s="4" t="s">
        <v>341</v>
      </c>
      <c r="C13" s="4" t="s">
        <v>342</v>
      </c>
      <c r="D13" s="4" t="s">
        <v>343</v>
      </c>
      <c r="E13" s="4" t="s">
        <v>344</v>
      </c>
      <c r="F13" s="4" t="s">
        <v>316</v>
      </c>
      <c r="G13" s="4" t="s">
        <v>345</v>
      </c>
    </row>
    <row r="14" spans="1:7" ht="23.25" customHeight="1" x14ac:dyDescent="0.25">
      <c r="A14" s="10" t="s">
        <v>26</v>
      </c>
      <c r="B14" s="10" t="s">
        <v>346</v>
      </c>
      <c r="C14" s="10" t="s">
        <v>347</v>
      </c>
      <c r="D14" s="10" t="s">
        <v>348</v>
      </c>
      <c r="E14" s="10" t="s">
        <v>325</v>
      </c>
      <c r="F14" s="10" t="s">
        <v>316</v>
      </c>
      <c r="G14" s="10" t="s">
        <v>349</v>
      </c>
    </row>
    <row r="15" spans="1:7" ht="23.25" customHeight="1" x14ac:dyDescent="0.25">
      <c r="A15" s="4" t="s">
        <v>26</v>
      </c>
      <c r="B15" s="4" t="s">
        <v>350</v>
      </c>
      <c r="C15" s="4" t="s">
        <v>351</v>
      </c>
      <c r="D15" s="4" t="s">
        <v>352</v>
      </c>
      <c r="E15" s="4" t="s">
        <v>353</v>
      </c>
      <c r="F15" s="4" t="s">
        <v>326</v>
      </c>
      <c r="G15" s="4" t="s">
        <v>354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</sheetPr>
  <dimension ref="A1:H95"/>
  <sheetViews>
    <sheetView showGridLines="0" topLeftCell="A78" zoomScale="120" zoomScaleNormal="120" workbookViewId="0">
      <selection activeCell="D80" sqref="D80"/>
    </sheetView>
  </sheetViews>
  <sheetFormatPr defaultColWidth="8.5703125" defaultRowHeight="15" x14ac:dyDescent="0.25"/>
  <cols>
    <col min="1" max="1" width="10" customWidth="1"/>
    <col min="2" max="2" width="32" customWidth="1"/>
    <col min="3" max="3" width="14" customWidth="1"/>
    <col min="4" max="4" width="38" customWidth="1"/>
    <col min="5" max="5" width="14" customWidth="1"/>
    <col min="6" max="6" width="20" customWidth="1"/>
    <col min="7" max="7" width="28" customWidth="1"/>
    <col min="8" max="8" width="24" customWidth="1"/>
  </cols>
  <sheetData>
    <row r="1" spans="1:8" ht="27.75" customHeight="1" x14ac:dyDescent="0.25">
      <c r="A1" s="78" t="s">
        <v>355</v>
      </c>
      <c r="B1" s="78"/>
      <c r="C1" s="78"/>
      <c r="D1" s="78"/>
      <c r="E1" s="78"/>
      <c r="F1" s="78"/>
      <c r="G1" s="78"/>
      <c r="H1" s="78"/>
    </row>
    <row r="2" spans="1:8" ht="15" customHeight="1" x14ac:dyDescent="0.25">
      <c r="A2" s="80" t="s">
        <v>356</v>
      </c>
      <c r="B2" s="80"/>
      <c r="C2" s="80"/>
      <c r="D2" s="80"/>
      <c r="E2" s="80"/>
      <c r="F2" s="80"/>
      <c r="G2" s="80"/>
      <c r="H2" s="80"/>
    </row>
    <row r="4" spans="1:8" ht="27.75" customHeight="1" x14ac:dyDescent="0.25">
      <c r="A4" s="1" t="s">
        <v>2</v>
      </c>
      <c r="B4" s="1" t="s">
        <v>3</v>
      </c>
      <c r="C4" s="1" t="s">
        <v>357</v>
      </c>
      <c r="D4" s="1" t="s">
        <v>306</v>
      </c>
      <c r="E4" s="1" t="s">
        <v>358</v>
      </c>
      <c r="F4" s="1" t="s">
        <v>359</v>
      </c>
      <c r="G4" s="1" t="s">
        <v>360</v>
      </c>
      <c r="H4" s="1" t="s">
        <v>66</v>
      </c>
    </row>
    <row r="5" spans="1:8" ht="18" customHeight="1" x14ac:dyDescent="0.25">
      <c r="A5" s="111" t="s">
        <v>361</v>
      </c>
      <c r="B5" s="111"/>
      <c r="C5" s="111"/>
      <c r="D5" s="111"/>
      <c r="E5" s="111"/>
      <c r="F5" s="111"/>
      <c r="G5" s="111"/>
      <c r="H5" s="111"/>
    </row>
    <row r="6" spans="1:8" ht="25.5" x14ac:dyDescent="0.25">
      <c r="A6" s="9" t="s">
        <v>11</v>
      </c>
      <c r="B6" s="10" t="s">
        <v>12</v>
      </c>
      <c r="C6" s="54" t="s">
        <v>67</v>
      </c>
      <c r="D6" s="10" t="s">
        <v>149</v>
      </c>
      <c r="E6" s="9" t="s">
        <v>150</v>
      </c>
      <c r="F6" s="55">
        <v>1.72</v>
      </c>
      <c r="G6" s="10" t="s">
        <v>151</v>
      </c>
      <c r="H6" s="10"/>
    </row>
    <row r="7" spans="1:8" ht="25.5" x14ac:dyDescent="0.25">
      <c r="A7" s="3" t="s">
        <v>11</v>
      </c>
      <c r="B7" s="4" t="s">
        <v>12</v>
      </c>
      <c r="C7" s="56" t="s">
        <v>67</v>
      </c>
      <c r="D7" s="4" t="s">
        <v>152</v>
      </c>
      <c r="E7" s="3" t="s">
        <v>150</v>
      </c>
      <c r="F7" s="57">
        <v>1.92</v>
      </c>
      <c r="G7" s="4" t="s">
        <v>151</v>
      </c>
      <c r="H7" s="4"/>
    </row>
    <row r="8" spans="1:8" ht="25.5" x14ac:dyDescent="0.25">
      <c r="A8" s="9" t="s">
        <v>11</v>
      </c>
      <c r="B8" s="10" t="s">
        <v>12</v>
      </c>
      <c r="C8" s="54" t="s">
        <v>67</v>
      </c>
      <c r="D8" s="10" t="s">
        <v>153</v>
      </c>
      <c r="E8" s="9" t="s">
        <v>150</v>
      </c>
      <c r="F8" s="55">
        <v>2.35</v>
      </c>
      <c r="G8" s="10" t="s">
        <v>151</v>
      </c>
      <c r="H8" s="10"/>
    </row>
    <row r="9" spans="1:8" ht="25.5" x14ac:dyDescent="0.25">
      <c r="A9" s="3" t="s">
        <v>11</v>
      </c>
      <c r="B9" s="4" t="s">
        <v>12</v>
      </c>
      <c r="C9" s="56" t="s">
        <v>67</v>
      </c>
      <c r="D9" s="4" t="s">
        <v>154</v>
      </c>
      <c r="E9" s="3" t="s">
        <v>150</v>
      </c>
      <c r="F9" s="57">
        <v>0.08</v>
      </c>
      <c r="G9" s="4" t="s">
        <v>155</v>
      </c>
      <c r="H9" s="4"/>
    </row>
    <row r="10" spans="1:8" ht="25.5" x14ac:dyDescent="0.25">
      <c r="A10" s="9" t="s">
        <v>11</v>
      </c>
      <c r="B10" s="10" t="s">
        <v>12</v>
      </c>
      <c r="C10" s="58" t="s">
        <v>72</v>
      </c>
      <c r="D10" s="10" t="s">
        <v>156</v>
      </c>
      <c r="E10" s="9" t="s">
        <v>150</v>
      </c>
      <c r="F10" s="55">
        <v>0.2</v>
      </c>
      <c r="G10" s="10" t="s">
        <v>157</v>
      </c>
      <c r="H10" s="10"/>
    </row>
    <row r="11" spans="1:8" ht="25.5" x14ac:dyDescent="0.25">
      <c r="A11" s="3" t="s">
        <v>11</v>
      </c>
      <c r="B11" s="4" t="s">
        <v>12</v>
      </c>
      <c r="C11" s="59" t="s">
        <v>72</v>
      </c>
      <c r="D11" s="4" t="s">
        <v>158</v>
      </c>
      <c r="E11" s="3" t="s">
        <v>150</v>
      </c>
      <c r="F11" s="57">
        <v>0.18</v>
      </c>
      <c r="G11" s="4" t="s">
        <v>159</v>
      </c>
      <c r="H11" s="4"/>
    </row>
    <row r="12" spans="1:8" ht="25.5" x14ac:dyDescent="0.25">
      <c r="A12" s="9" t="s">
        <v>11</v>
      </c>
      <c r="B12" s="10" t="s">
        <v>12</v>
      </c>
      <c r="C12" s="58" t="s">
        <v>72</v>
      </c>
      <c r="D12" s="10" t="s">
        <v>160</v>
      </c>
      <c r="E12" s="9" t="s">
        <v>150</v>
      </c>
      <c r="F12" s="55">
        <v>0.22</v>
      </c>
      <c r="G12" s="10" t="s">
        <v>159</v>
      </c>
      <c r="H12" s="10"/>
    </row>
    <row r="13" spans="1:8" ht="25.5" x14ac:dyDescent="0.25">
      <c r="A13" s="3" t="s">
        <v>11</v>
      </c>
      <c r="B13" s="4" t="s">
        <v>12</v>
      </c>
      <c r="C13" s="59" t="s">
        <v>72</v>
      </c>
      <c r="D13" s="4" t="s">
        <v>161</v>
      </c>
      <c r="E13" s="3" t="s">
        <v>150</v>
      </c>
      <c r="F13" s="57">
        <v>0.35</v>
      </c>
      <c r="G13" s="4" t="s">
        <v>162</v>
      </c>
      <c r="H13" s="4"/>
    </row>
    <row r="14" spans="1:8" ht="25.5" x14ac:dyDescent="0.25">
      <c r="A14" s="9" t="s">
        <v>11</v>
      </c>
      <c r="B14" s="10" t="s">
        <v>12</v>
      </c>
      <c r="C14" s="60" t="s">
        <v>77</v>
      </c>
      <c r="D14" s="10" t="s">
        <v>163</v>
      </c>
      <c r="E14" s="9" t="s">
        <v>150</v>
      </c>
      <c r="F14" s="55">
        <v>0.14000000000000001</v>
      </c>
      <c r="G14" s="10" t="s">
        <v>164</v>
      </c>
      <c r="H14" s="10"/>
    </row>
    <row r="15" spans="1:8" ht="25.5" x14ac:dyDescent="0.25">
      <c r="A15" s="3" t="s">
        <v>11</v>
      </c>
      <c r="B15" s="4" t="s">
        <v>12</v>
      </c>
      <c r="C15" s="61" t="s">
        <v>77</v>
      </c>
      <c r="D15" s="4" t="s">
        <v>165</v>
      </c>
      <c r="E15" s="3" t="s">
        <v>150</v>
      </c>
      <c r="F15" s="57">
        <v>0.18</v>
      </c>
      <c r="G15" s="4" t="s">
        <v>164</v>
      </c>
      <c r="H15" s="4"/>
    </row>
    <row r="16" spans="1:8" x14ac:dyDescent="0.25">
      <c r="A16" s="9" t="s">
        <v>11</v>
      </c>
      <c r="B16" s="10" t="s">
        <v>12</v>
      </c>
      <c r="C16" s="60" t="s">
        <v>77</v>
      </c>
      <c r="D16" s="10" t="s">
        <v>166</v>
      </c>
      <c r="E16" s="9" t="s">
        <v>150</v>
      </c>
      <c r="F16" s="55">
        <v>0.24</v>
      </c>
      <c r="G16" s="10" t="s">
        <v>167</v>
      </c>
      <c r="H16" s="10"/>
    </row>
    <row r="17" spans="1:8" x14ac:dyDescent="0.25">
      <c r="A17" s="3" t="s">
        <v>11</v>
      </c>
      <c r="B17" s="4" t="s">
        <v>12</v>
      </c>
      <c r="C17" s="61" t="s">
        <v>77</v>
      </c>
      <c r="D17" s="4" t="s">
        <v>168</v>
      </c>
      <c r="E17" s="3" t="s">
        <v>150</v>
      </c>
      <c r="F17" s="57">
        <v>7.0000000000000007E-2</v>
      </c>
      <c r="G17" s="4" t="s">
        <v>167</v>
      </c>
      <c r="H17" s="4"/>
    </row>
    <row r="18" spans="1:8" ht="25.5" x14ac:dyDescent="0.25">
      <c r="A18" s="9" t="s">
        <v>11</v>
      </c>
      <c r="B18" s="10" t="s">
        <v>12</v>
      </c>
      <c r="C18" s="62" t="s">
        <v>82</v>
      </c>
      <c r="D18" s="10" t="s">
        <v>169</v>
      </c>
      <c r="E18" s="9" t="s">
        <v>150</v>
      </c>
      <c r="F18" s="55">
        <v>0.11</v>
      </c>
      <c r="G18" s="10" t="s">
        <v>170</v>
      </c>
      <c r="H18" s="10"/>
    </row>
    <row r="19" spans="1:8" x14ac:dyDescent="0.25">
      <c r="A19" s="3" t="s">
        <v>11</v>
      </c>
      <c r="B19" s="4" t="s">
        <v>12</v>
      </c>
      <c r="C19" s="63" t="s">
        <v>82</v>
      </c>
      <c r="D19" s="4" t="s">
        <v>171</v>
      </c>
      <c r="E19" s="3" t="s">
        <v>150</v>
      </c>
      <c r="F19" s="57">
        <v>0.09</v>
      </c>
      <c r="G19" s="4" t="s">
        <v>172</v>
      </c>
      <c r="H19" s="4"/>
    </row>
    <row r="20" spans="1:8" ht="25.5" x14ac:dyDescent="0.25">
      <c r="A20" s="9" t="s">
        <v>11</v>
      </c>
      <c r="B20" s="10" t="s">
        <v>12</v>
      </c>
      <c r="C20" s="62" t="s">
        <v>82</v>
      </c>
      <c r="D20" s="10" t="s">
        <v>173</v>
      </c>
      <c r="E20" s="9" t="s">
        <v>150</v>
      </c>
      <c r="F20" s="55">
        <v>0.05</v>
      </c>
      <c r="G20" s="10" t="s">
        <v>174</v>
      </c>
      <c r="H20" s="10"/>
    </row>
    <row r="21" spans="1:8" ht="25.5" x14ac:dyDescent="0.25">
      <c r="A21" s="3" t="s">
        <v>11</v>
      </c>
      <c r="B21" s="4" t="s">
        <v>12</v>
      </c>
      <c r="C21" s="64" t="s">
        <v>87</v>
      </c>
      <c r="D21" s="4" t="s">
        <v>175</v>
      </c>
      <c r="E21" s="3" t="s">
        <v>150</v>
      </c>
      <c r="F21" s="57">
        <v>0.04</v>
      </c>
      <c r="G21" s="4" t="s">
        <v>176</v>
      </c>
      <c r="H21" s="4"/>
    </row>
    <row r="22" spans="1:8" ht="18" customHeight="1" x14ac:dyDescent="0.25">
      <c r="A22" s="112" t="s">
        <v>362</v>
      </c>
      <c r="B22" s="112"/>
      <c r="C22" s="112"/>
      <c r="D22" s="112"/>
      <c r="E22" s="112"/>
      <c r="F22" s="112"/>
      <c r="G22" s="112"/>
      <c r="H22" s="112"/>
    </row>
    <row r="23" spans="1:8" ht="25.5" x14ac:dyDescent="0.25">
      <c r="A23" s="3" t="s">
        <v>14</v>
      </c>
      <c r="B23" s="4" t="s">
        <v>15</v>
      </c>
      <c r="C23" s="56" t="s">
        <v>67</v>
      </c>
      <c r="D23" s="4" t="s">
        <v>178</v>
      </c>
      <c r="E23" s="3" t="s">
        <v>150</v>
      </c>
      <c r="F23" s="57">
        <v>1.87</v>
      </c>
      <c r="G23" s="4" t="s">
        <v>179</v>
      </c>
      <c r="H23" s="4"/>
    </row>
    <row r="24" spans="1:8" ht="25.5" x14ac:dyDescent="0.25">
      <c r="A24" s="9" t="s">
        <v>14</v>
      </c>
      <c r="B24" s="10" t="s">
        <v>15</v>
      </c>
      <c r="C24" s="54" t="s">
        <v>67</v>
      </c>
      <c r="D24" s="10" t="s">
        <v>180</v>
      </c>
      <c r="E24" s="9" t="s">
        <v>150</v>
      </c>
      <c r="F24" s="55">
        <v>1.99</v>
      </c>
      <c r="G24" s="10" t="s">
        <v>179</v>
      </c>
      <c r="H24" s="10"/>
    </row>
    <row r="25" spans="1:8" ht="25.5" x14ac:dyDescent="0.25">
      <c r="A25" s="3" t="s">
        <v>14</v>
      </c>
      <c r="B25" s="4" t="s">
        <v>15</v>
      </c>
      <c r="C25" s="59" t="s">
        <v>72</v>
      </c>
      <c r="D25" s="4" t="s">
        <v>156</v>
      </c>
      <c r="E25" s="3" t="s">
        <v>150</v>
      </c>
      <c r="F25" s="57">
        <v>0.2</v>
      </c>
      <c r="G25" s="4" t="s">
        <v>157</v>
      </c>
      <c r="H25" s="4"/>
    </row>
    <row r="26" spans="1:8" ht="15.75" customHeight="1" x14ac:dyDescent="0.25">
      <c r="A26" s="9" t="s">
        <v>14</v>
      </c>
      <c r="B26" s="10" t="s">
        <v>15</v>
      </c>
      <c r="C26" s="58" t="s">
        <v>72</v>
      </c>
      <c r="D26" s="10" t="s">
        <v>181</v>
      </c>
      <c r="E26" s="9" t="s">
        <v>150</v>
      </c>
      <c r="F26" s="55">
        <v>0.28000000000000003</v>
      </c>
      <c r="G26" s="10" t="s">
        <v>182</v>
      </c>
      <c r="H26" s="10"/>
    </row>
    <row r="27" spans="1:8" ht="15.75" customHeight="1" x14ac:dyDescent="0.25">
      <c r="A27" s="3" t="s">
        <v>14</v>
      </c>
      <c r="B27" s="4" t="s">
        <v>15</v>
      </c>
      <c r="C27" s="59" t="s">
        <v>72</v>
      </c>
      <c r="D27" s="4" t="s">
        <v>183</v>
      </c>
      <c r="E27" s="3" t="s">
        <v>150</v>
      </c>
      <c r="F27" s="57">
        <v>7.0000000000000007E-2</v>
      </c>
      <c r="G27" s="4" t="s">
        <v>176</v>
      </c>
      <c r="H27" s="4"/>
    </row>
    <row r="28" spans="1:8" ht="15.75" customHeight="1" x14ac:dyDescent="0.25">
      <c r="A28" s="9" t="s">
        <v>14</v>
      </c>
      <c r="B28" s="10" t="s">
        <v>15</v>
      </c>
      <c r="C28" s="60" t="s">
        <v>77</v>
      </c>
      <c r="D28" s="10" t="s">
        <v>184</v>
      </c>
      <c r="E28" s="9" t="s">
        <v>150</v>
      </c>
      <c r="F28" s="55">
        <v>0.18</v>
      </c>
      <c r="G28" s="10" t="s">
        <v>185</v>
      </c>
      <c r="H28" s="10"/>
    </row>
    <row r="29" spans="1:8" ht="15.75" customHeight="1" x14ac:dyDescent="0.25">
      <c r="A29" s="3" t="s">
        <v>14</v>
      </c>
      <c r="B29" s="4" t="s">
        <v>15</v>
      </c>
      <c r="C29" s="61" t="s">
        <v>77</v>
      </c>
      <c r="D29" s="4" t="s">
        <v>186</v>
      </c>
      <c r="E29" s="3" t="s">
        <v>150</v>
      </c>
      <c r="F29" s="57">
        <v>0.05</v>
      </c>
      <c r="G29" s="4" t="s">
        <v>176</v>
      </c>
      <c r="H29" s="4"/>
    </row>
    <row r="30" spans="1:8" ht="25.5" x14ac:dyDescent="0.25">
      <c r="A30" s="9" t="s">
        <v>14</v>
      </c>
      <c r="B30" s="10" t="s">
        <v>15</v>
      </c>
      <c r="C30" s="62" t="s">
        <v>82</v>
      </c>
      <c r="D30" s="10" t="s">
        <v>187</v>
      </c>
      <c r="E30" s="9" t="s">
        <v>150</v>
      </c>
      <c r="F30" s="55">
        <v>0.14000000000000001</v>
      </c>
      <c r="G30" s="10" t="s">
        <v>170</v>
      </c>
      <c r="H30" s="10"/>
    </row>
    <row r="31" spans="1:8" ht="15.75" customHeight="1" x14ac:dyDescent="0.25">
      <c r="A31" s="3" t="s">
        <v>14</v>
      </c>
      <c r="B31" s="4" t="s">
        <v>15</v>
      </c>
      <c r="C31" s="63" t="s">
        <v>82</v>
      </c>
      <c r="D31" s="4" t="s">
        <v>188</v>
      </c>
      <c r="E31" s="3" t="s">
        <v>150</v>
      </c>
      <c r="F31" s="57">
        <v>7.0000000000000007E-2</v>
      </c>
      <c r="G31" s="4" t="s">
        <v>172</v>
      </c>
      <c r="H31" s="4"/>
    </row>
    <row r="32" spans="1:8" ht="15.75" customHeight="1" x14ac:dyDescent="0.25">
      <c r="A32" s="9" t="s">
        <v>14</v>
      </c>
      <c r="B32" s="10" t="s">
        <v>15</v>
      </c>
      <c r="C32" s="65" t="s">
        <v>87</v>
      </c>
      <c r="D32" s="10" t="s">
        <v>189</v>
      </c>
      <c r="E32" s="9" t="s">
        <v>150</v>
      </c>
      <c r="F32" s="55">
        <v>0.04</v>
      </c>
      <c r="G32" s="10" t="s">
        <v>176</v>
      </c>
      <c r="H32" s="10"/>
    </row>
    <row r="33" spans="1:8" ht="18" customHeight="1" x14ac:dyDescent="0.25">
      <c r="A33" s="113" t="s">
        <v>363</v>
      </c>
      <c r="B33" s="113"/>
      <c r="C33" s="113"/>
      <c r="D33" s="113"/>
      <c r="E33" s="113"/>
      <c r="F33" s="113"/>
      <c r="G33" s="113"/>
      <c r="H33" s="113"/>
    </row>
    <row r="34" spans="1:8" ht="25.5" x14ac:dyDescent="0.25">
      <c r="A34" s="9" t="s">
        <v>17</v>
      </c>
      <c r="B34" s="10" t="s">
        <v>18</v>
      </c>
      <c r="C34" s="54" t="s">
        <v>67</v>
      </c>
      <c r="D34" s="10" t="s">
        <v>191</v>
      </c>
      <c r="E34" s="9" t="s">
        <v>192</v>
      </c>
      <c r="F34" s="55">
        <v>5.2</v>
      </c>
      <c r="G34" s="10" t="s">
        <v>193</v>
      </c>
      <c r="H34" s="10"/>
    </row>
    <row r="35" spans="1:8" ht="25.5" x14ac:dyDescent="0.25">
      <c r="A35" s="3" t="s">
        <v>17</v>
      </c>
      <c r="B35" s="4" t="s">
        <v>18</v>
      </c>
      <c r="C35" s="56" t="s">
        <v>67</v>
      </c>
      <c r="D35" s="4" t="s">
        <v>194</v>
      </c>
      <c r="E35" s="3" t="s">
        <v>192</v>
      </c>
      <c r="F35" s="57">
        <v>6.5</v>
      </c>
      <c r="G35" s="4" t="s">
        <v>195</v>
      </c>
      <c r="H35" s="4"/>
    </row>
    <row r="36" spans="1:8" ht="25.5" x14ac:dyDescent="0.25">
      <c r="A36" s="9" t="s">
        <v>17</v>
      </c>
      <c r="B36" s="10" t="s">
        <v>18</v>
      </c>
      <c r="C36" s="54" t="s">
        <v>67</v>
      </c>
      <c r="D36" s="10" t="s">
        <v>196</v>
      </c>
      <c r="E36" s="9" t="s">
        <v>192</v>
      </c>
      <c r="F36" s="55">
        <v>6.8</v>
      </c>
      <c r="G36" s="10" t="s">
        <v>195</v>
      </c>
      <c r="H36" s="10"/>
    </row>
    <row r="37" spans="1:8" ht="25.5" x14ac:dyDescent="0.25">
      <c r="A37" s="3" t="s">
        <v>17</v>
      </c>
      <c r="B37" s="4" t="s">
        <v>18</v>
      </c>
      <c r="C37" s="56" t="s">
        <v>67</v>
      </c>
      <c r="D37" s="4" t="s">
        <v>197</v>
      </c>
      <c r="E37" s="3" t="s">
        <v>192</v>
      </c>
      <c r="F37" s="57">
        <v>0.38</v>
      </c>
      <c r="G37" s="4" t="s">
        <v>198</v>
      </c>
      <c r="H37" s="4"/>
    </row>
    <row r="38" spans="1:8" ht="25.5" x14ac:dyDescent="0.25">
      <c r="A38" s="9" t="s">
        <v>17</v>
      </c>
      <c r="B38" s="10" t="s">
        <v>18</v>
      </c>
      <c r="C38" s="54" t="s">
        <v>67</v>
      </c>
      <c r="D38" s="10" t="s">
        <v>199</v>
      </c>
      <c r="E38" s="9" t="s">
        <v>192</v>
      </c>
      <c r="F38" s="55">
        <v>0.28000000000000003</v>
      </c>
      <c r="G38" s="10" t="s">
        <v>200</v>
      </c>
      <c r="H38" s="10"/>
    </row>
    <row r="39" spans="1:8" ht="25.5" x14ac:dyDescent="0.25">
      <c r="A39" s="3" t="s">
        <v>17</v>
      </c>
      <c r="B39" s="4" t="s">
        <v>18</v>
      </c>
      <c r="C39" s="59" t="s">
        <v>72</v>
      </c>
      <c r="D39" s="4" t="s">
        <v>201</v>
      </c>
      <c r="E39" s="3" t="s">
        <v>192</v>
      </c>
      <c r="F39" s="57">
        <v>0.32</v>
      </c>
      <c r="G39" s="4" t="s">
        <v>182</v>
      </c>
      <c r="H39" s="4"/>
    </row>
    <row r="40" spans="1:8" x14ac:dyDescent="0.25">
      <c r="A40" s="9" t="s">
        <v>17</v>
      </c>
      <c r="B40" s="10" t="s">
        <v>18</v>
      </c>
      <c r="C40" s="58" t="s">
        <v>72</v>
      </c>
      <c r="D40" s="10" t="s">
        <v>202</v>
      </c>
      <c r="E40" s="9" t="s">
        <v>192</v>
      </c>
      <c r="F40" s="55">
        <v>0.1</v>
      </c>
      <c r="G40" s="10" t="s">
        <v>203</v>
      </c>
      <c r="H40" s="10"/>
    </row>
    <row r="41" spans="1:8" ht="25.5" x14ac:dyDescent="0.25">
      <c r="A41" s="3" t="s">
        <v>17</v>
      </c>
      <c r="B41" s="4" t="s">
        <v>18</v>
      </c>
      <c r="C41" s="61" t="s">
        <v>77</v>
      </c>
      <c r="D41" s="4" t="s">
        <v>204</v>
      </c>
      <c r="E41" s="3" t="s">
        <v>192</v>
      </c>
      <c r="F41" s="57">
        <v>2.4</v>
      </c>
      <c r="G41" s="4" t="s">
        <v>205</v>
      </c>
      <c r="H41" s="4"/>
    </row>
    <row r="42" spans="1:8" ht="25.5" x14ac:dyDescent="0.25">
      <c r="A42" s="9" t="s">
        <v>17</v>
      </c>
      <c r="B42" s="10" t="s">
        <v>18</v>
      </c>
      <c r="C42" s="60" t="s">
        <v>77</v>
      </c>
      <c r="D42" s="10" t="s">
        <v>206</v>
      </c>
      <c r="E42" s="9" t="s">
        <v>192</v>
      </c>
      <c r="F42" s="55">
        <v>0.18</v>
      </c>
      <c r="G42" s="10" t="s">
        <v>207</v>
      </c>
      <c r="H42" s="10"/>
    </row>
    <row r="43" spans="1:8" x14ac:dyDescent="0.25">
      <c r="A43" s="3" t="s">
        <v>17</v>
      </c>
      <c r="B43" s="4" t="s">
        <v>18</v>
      </c>
      <c r="C43" s="61" t="s">
        <v>77</v>
      </c>
      <c r="D43" s="4" t="s">
        <v>208</v>
      </c>
      <c r="E43" s="3" t="s">
        <v>192</v>
      </c>
      <c r="F43" s="57">
        <v>0.28000000000000003</v>
      </c>
      <c r="G43" s="4" t="s">
        <v>205</v>
      </c>
      <c r="H43" s="4"/>
    </row>
    <row r="44" spans="1:8" ht="25.5" x14ac:dyDescent="0.25">
      <c r="A44" s="9" t="s">
        <v>17</v>
      </c>
      <c r="B44" s="10" t="s">
        <v>18</v>
      </c>
      <c r="C44" s="60" t="s">
        <v>77</v>
      </c>
      <c r="D44" s="10" t="s">
        <v>209</v>
      </c>
      <c r="E44" s="9" t="s">
        <v>192</v>
      </c>
      <c r="F44" s="55">
        <v>0.14000000000000001</v>
      </c>
      <c r="G44" s="10" t="s">
        <v>210</v>
      </c>
      <c r="H44" s="10"/>
    </row>
    <row r="45" spans="1:8" x14ac:dyDescent="0.25">
      <c r="A45" s="3" t="s">
        <v>17</v>
      </c>
      <c r="B45" s="4" t="s">
        <v>18</v>
      </c>
      <c r="C45" s="63" t="s">
        <v>82</v>
      </c>
      <c r="D45" s="4" t="s">
        <v>211</v>
      </c>
      <c r="E45" s="3" t="s">
        <v>192</v>
      </c>
      <c r="F45" s="57">
        <v>0.22</v>
      </c>
      <c r="G45" s="4" t="s">
        <v>170</v>
      </c>
      <c r="H45" s="4"/>
    </row>
    <row r="46" spans="1:8" ht="25.5" x14ac:dyDescent="0.25">
      <c r="A46" s="9" t="s">
        <v>17</v>
      </c>
      <c r="B46" s="10" t="s">
        <v>18</v>
      </c>
      <c r="C46" s="62" t="s">
        <v>82</v>
      </c>
      <c r="D46" s="10" t="s">
        <v>212</v>
      </c>
      <c r="E46" s="9" t="s">
        <v>192</v>
      </c>
      <c r="F46" s="55">
        <v>0.09</v>
      </c>
      <c r="G46" s="10" t="s">
        <v>213</v>
      </c>
      <c r="H46" s="10"/>
    </row>
    <row r="47" spans="1:8" ht="25.5" x14ac:dyDescent="0.25">
      <c r="A47" s="3" t="s">
        <v>17</v>
      </c>
      <c r="B47" s="4" t="s">
        <v>18</v>
      </c>
      <c r="C47" s="64" t="s">
        <v>87</v>
      </c>
      <c r="D47" s="4" t="s">
        <v>214</v>
      </c>
      <c r="E47" s="3" t="s">
        <v>192</v>
      </c>
      <c r="F47" s="57">
        <v>0.08</v>
      </c>
      <c r="G47" s="4" t="s">
        <v>174</v>
      </c>
      <c r="H47" s="4"/>
    </row>
    <row r="48" spans="1:8" ht="25.5" x14ac:dyDescent="0.25">
      <c r="A48" s="9" t="s">
        <v>17</v>
      </c>
      <c r="B48" s="10" t="s">
        <v>18</v>
      </c>
      <c r="C48" s="65" t="s">
        <v>87</v>
      </c>
      <c r="D48" s="10" t="s">
        <v>215</v>
      </c>
      <c r="E48" s="9" t="s">
        <v>192</v>
      </c>
      <c r="F48" s="55">
        <v>0.06</v>
      </c>
      <c r="G48" s="10" t="s">
        <v>172</v>
      </c>
      <c r="H48" s="10"/>
    </row>
    <row r="49" spans="1:8" ht="18" customHeight="1" x14ac:dyDescent="0.25">
      <c r="A49" s="108" t="s">
        <v>364</v>
      </c>
      <c r="B49" s="108"/>
      <c r="C49" s="108"/>
      <c r="D49" s="108"/>
      <c r="E49" s="108"/>
      <c r="F49" s="108"/>
      <c r="G49" s="108"/>
      <c r="H49" s="108"/>
    </row>
    <row r="50" spans="1:8" ht="25.5" x14ac:dyDescent="0.25">
      <c r="A50" s="9" t="s">
        <v>20</v>
      </c>
      <c r="B50" s="10" t="s">
        <v>21</v>
      </c>
      <c r="C50" s="54" t="s">
        <v>67</v>
      </c>
      <c r="D50" s="10" t="s">
        <v>217</v>
      </c>
      <c r="E50" s="9" t="s">
        <v>218</v>
      </c>
      <c r="F50" s="55">
        <v>0.24</v>
      </c>
      <c r="G50" s="10" t="s">
        <v>219</v>
      </c>
      <c r="H50" s="10"/>
    </row>
    <row r="51" spans="1:8" ht="25.5" x14ac:dyDescent="0.25">
      <c r="A51" s="9" t="s">
        <v>20</v>
      </c>
      <c r="B51" s="10" t="s">
        <v>21</v>
      </c>
      <c r="C51" s="54" t="s">
        <v>67</v>
      </c>
      <c r="D51" s="10" t="s">
        <v>220</v>
      </c>
      <c r="E51" s="9" t="s">
        <v>218</v>
      </c>
      <c r="F51" s="55">
        <v>0.28000000000000003</v>
      </c>
      <c r="G51" s="10" t="s">
        <v>221</v>
      </c>
      <c r="H51" s="10"/>
    </row>
    <row r="52" spans="1:8" ht="25.5" x14ac:dyDescent="0.25">
      <c r="A52" s="3" t="s">
        <v>20</v>
      </c>
      <c r="B52" s="4" t="s">
        <v>21</v>
      </c>
      <c r="C52" s="59" t="s">
        <v>72</v>
      </c>
      <c r="D52" s="4" t="s">
        <v>222</v>
      </c>
      <c r="E52" s="3" t="s">
        <v>218</v>
      </c>
      <c r="F52" s="57">
        <v>0.18</v>
      </c>
      <c r="G52" s="4" t="s">
        <v>223</v>
      </c>
      <c r="H52" s="4"/>
    </row>
    <row r="53" spans="1:8" ht="25.5" x14ac:dyDescent="0.25">
      <c r="A53" s="9" t="s">
        <v>20</v>
      </c>
      <c r="B53" s="10" t="s">
        <v>21</v>
      </c>
      <c r="C53" s="58" t="s">
        <v>72</v>
      </c>
      <c r="D53" s="10" t="s">
        <v>224</v>
      </c>
      <c r="E53" s="9" t="s">
        <v>218</v>
      </c>
      <c r="F53" s="55">
        <v>0.14000000000000001</v>
      </c>
      <c r="G53" s="10" t="s">
        <v>223</v>
      </c>
      <c r="H53" s="10"/>
    </row>
    <row r="54" spans="1:8" ht="25.5" x14ac:dyDescent="0.25">
      <c r="A54" s="3" t="s">
        <v>20</v>
      </c>
      <c r="B54" s="4" t="s">
        <v>21</v>
      </c>
      <c r="C54" s="61" t="s">
        <v>77</v>
      </c>
      <c r="D54" s="4" t="s">
        <v>225</v>
      </c>
      <c r="E54" s="3" t="s">
        <v>218</v>
      </c>
      <c r="F54" s="57">
        <v>0.42</v>
      </c>
      <c r="G54" s="4" t="s">
        <v>226</v>
      </c>
      <c r="H54" s="4"/>
    </row>
    <row r="55" spans="1:8" ht="25.5" x14ac:dyDescent="0.25">
      <c r="A55" s="9" t="s">
        <v>20</v>
      </c>
      <c r="B55" s="10" t="s">
        <v>21</v>
      </c>
      <c r="C55" s="60" t="s">
        <v>77</v>
      </c>
      <c r="D55" s="10" t="s">
        <v>227</v>
      </c>
      <c r="E55" s="9" t="s">
        <v>218</v>
      </c>
      <c r="F55" s="55">
        <v>0.09</v>
      </c>
      <c r="G55" s="10" t="s">
        <v>228</v>
      </c>
      <c r="H55" s="10"/>
    </row>
    <row r="56" spans="1:8" ht="25.5" x14ac:dyDescent="0.25">
      <c r="A56" s="3" t="s">
        <v>20</v>
      </c>
      <c r="B56" s="4" t="s">
        <v>21</v>
      </c>
      <c r="C56" s="61" t="s">
        <v>77</v>
      </c>
      <c r="D56" s="4" t="s">
        <v>229</v>
      </c>
      <c r="E56" s="3" t="s">
        <v>218</v>
      </c>
      <c r="F56" s="57">
        <v>0.11</v>
      </c>
      <c r="G56" s="4" t="s">
        <v>210</v>
      </c>
      <c r="H56" s="4"/>
    </row>
    <row r="57" spans="1:8" x14ac:dyDescent="0.25">
      <c r="A57" s="9" t="s">
        <v>20</v>
      </c>
      <c r="B57" s="10" t="s">
        <v>21</v>
      </c>
      <c r="C57" s="60" t="s">
        <v>77</v>
      </c>
      <c r="D57" s="10" t="s">
        <v>230</v>
      </c>
      <c r="E57" s="9" t="s">
        <v>218</v>
      </c>
      <c r="F57" s="55">
        <v>0.04</v>
      </c>
      <c r="G57" s="10" t="s">
        <v>176</v>
      </c>
      <c r="H57" s="10"/>
    </row>
    <row r="58" spans="1:8" ht="25.5" x14ac:dyDescent="0.25">
      <c r="A58" s="3" t="s">
        <v>20</v>
      </c>
      <c r="B58" s="4" t="s">
        <v>21</v>
      </c>
      <c r="C58" s="63" t="s">
        <v>82</v>
      </c>
      <c r="D58" s="4" t="s">
        <v>231</v>
      </c>
      <c r="E58" s="3" t="s">
        <v>218</v>
      </c>
      <c r="F58" s="57">
        <v>0.16</v>
      </c>
      <c r="G58" s="4" t="s">
        <v>170</v>
      </c>
      <c r="H58" s="4"/>
    </row>
    <row r="59" spans="1:8" ht="25.5" x14ac:dyDescent="0.25">
      <c r="A59" s="9" t="s">
        <v>20</v>
      </c>
      <c r="B59" s="10" t="s">
        <v>21</v>
      </c>
      <c r="C59" s="62" t="s">
        <v>82</v>
      </c>
      <c r="D59" s="10" t="s">
        <v>232</v>
      </c>
      <c r="E59" s="9" t="s">
        <v>218</v>
      </c>
      <c r="F59" s="55">
        <v>0.09</v>
      </c>
      <c r="G59" s="10" t="s">
        <v>172</v>
      </c>
      <c r="H59" s="10"/>
    </row>
    <row r="60" spans="1:8" ht="25.5" x14ac:dyDescent="0.25">
      <c r="A60" s="3" t="s">
        <v>20</v>
      </c>
      <c r="B60" s="4" t="s">
        <v>21</v>
      </c>
      <c r="C60" s="64" t="s">
        <v>87</v>
      </c>
      <c r="D60" s="4" t="s">
        <v>233</v>
      </c>
      <c r="E60" s="3" t="s">
        <v>218</v>
      </c>
      <c r="F60" s="57">
        <v>0.06</v>
      </c>
      <c r="G60" s="4" t="s">
        <v>174</v>
      </c>
      <c r="H60" s="4"/>
    </row>
    <row r="61" spans="1:8" ht="18" customHeight="1" x14ac:dyDescent="0.25">
      <c r="A61" s="109" t="s">
        <v>365</v>
      </c>
      <c r="B61" s="109"/>
      <c r="C61" s="109"/>
      <c r="D61" s="109"/>
      <c r="E61" s="109"/>
      <c r="F61" s="109"/>
      <c r="G61" s="109"/>
      <c r="H61" s="109"/>
    </row>
    <row r="62" spans="1:8" ht="25.5" x14ac:dyDescent="0.25">
      <c r="A62" s="3" t="s">
        <v>23</v>
      </c>
      <c r="B62" s="4" t="s">
        <v>24</v>
      </c>
      <c r="C62" s="56" t="s">
        <v>67</v>
      </c>
      <c r="D62" s="4" t="s">
        <v>235</v>
      </c>
      <c r="E62" s="3" t="s">
        <v>218</v>
      </c>
      <c r="F62" s="57">
        <v>1.46</v>
      </c>
      <c r="G62" s="4" t="s">
        <v>236</v>
      </c>
      <c r="H62" s="4"/>
    </row>
    <row r="63" spans="1:8" ht="25.5" x14ac:dyDescent="0.25">
      <c r="A63" s="9" t="s">
        <v>23</v>
      </c>
      <c r="B63" s="10" t="s">
        <v>24</v>
      </c>
      <c r="C63" s="54" t="s">
        <v>67</v>
      </c>
      <c r="D63" s="67" t="s">
        <v>237</v>
      </c>
      <c r="E63" s="9" t="s">
        <v>218</v>
      </c>
      <c r="F63" s="55">
        <v>1.46</v>
      </c>
      <c r="G63" s="10" t="s">
        <v>236</v>
      </c>
      <c r="H63" s="10"/>
    </row>
    <row r="64" spans="1:8" ht="25.5" x14ac:dyDescent="0.25">
      <c r="A64" s="3" t="s">
        <v>23</v>
      </c>
      <c r="B64" s="4" t="s">
        <v>24</v>
      </c>
      <c r="C64" s="56" t="s">
        <v>67</v>
      </c>
      <c r="D64" s="66" t="s">
        <v>238</v>
      </c>
      <c r="E64" s="3" t="s">
        <v>218</v>
      </c>
      <c r="F64" s="57">
        <v>1.46</v>
      </c>
      <c r="G64" s="4" t="s">
        <v>236</v>
      </c>
      <c r="H64" s="4"/>
    </row>
    <row r="65" spans="1:8" ht="25.5" x14ac:dyDescent="0.25">
      <c r="A65" s="9" t="s">
        <v>23</v>
      </c>
      <c r="B65" s="10" t="s">
        <v>24</v>
      </c>
      <c r="C65" s="54" t="s">
        <v>67</v>
      </c>
      <c r="D65" s="10" t="s">
        <v>239</v>
      </c>
      <c r="E65" s="9" t="s">
        <v>218</v>
      </c>
      <c r="F65" s="55">
        <v>0.82</v>
      </c>
      <c r="G65" s="10" t="s">
        <v>240</v>
      </c>
      <c r="H65" s="10"/>
    </row>
    <row r="66" spans="1:8" ht="25.5" x14ac:dyDescent="0.25">
      <c r="A66" s="3" t="s">
        <v>23</v>
      </c>
      <c r="B66" s="4" t="s">
        <v>24</v>
      </c>
      <c r="C66" s="59" t="s">
        <v>72</v>
      </c>
      <c r="D66" s="4" t="s">
        <v>241</v>
      </c>
      <c r="E66" s="3" t="s">
        <v>218</v>
      </c>
      <c r="F66" s="57">
        <v>0.14000000000000001</v>
      </c>
      <c r="G66" s="4" t="s">
        <v>223</v>
      </c>
      <c r="H66" s="4"/>
    </row>
    <row r="67" spans="1:8" ht="25.5" x14ac:dyDescent="0.25">
      <c r="A67" s="9" t="s">
        <v>23</v>
      </c>
      <c r="B67" s="10" t="s">
        <v>24</v>
      </c>
      <c r="C67" s="60" t="s">
        <v>77</v>
      </c>
      <c r="D67" s="10" t="s">
        <v>242</v>
      </c>
      <c r="E67" s="9" t="s">
        <v>218</v>
      </c>
      <c r="F67" s="55">
        <v>0.28000000000000003</v>
      </c>
      <c r="G67" s="10" t="s">
        <v>243</v>
      </c>
      <c r="H67" s="10"/>
    </row>
    <row r="68" spans="1:8" ht="25.5" x14ac:dyDescent="0.25">
      <c r="A68" s="3" t="s">
        <v>23</v>
      </c>
      <c r="B68" s="4" t="s">
        <v>24</v>
      </c>
      <c r="C68" s="61" t="s">
        <v>77</v>
      </c>
      <c r="D68" s="4" t="s">
        <v>244</v>
      </c>
      <c r="E68" s="3" t="s">
        <v>218</v>
      </c>
      <c r="F68" s="57">
        <v>0.08</v>
      </c>
      <c r="G68" s="4" t="s">
        <v>228</v>
      </c>
      <c r="H68" s="4"/>
    </row>
    <row r="69" spans="1:8" ht="25.5" x14ac:dyDescent="0.25">
      <c r="A69" s="9" t="s">
        <v>23</v>
      </c>
      <c r="B69" s="10" t="s">
        <v>24</v>
      </c>
      <c r="C69" s="60" t="s">
        <v>77</v>
      </c>
      <c r="D69" s="10" t="s">
        <v>245</v>
      </c>
      <c r="E69" s="9" t="s">
        <v>218</v>
      </c>
      <c r="F69" s="55">
        <v>0.11</v>
      </c>
      <c r="G69" s="10" t="s">
        <v>246</v>
      </c>
      <c r="H69" s="10"/>
    </row>
    <row r="70" spans="1:8" ht="25.5" x14ac:dyDescent="0.25">
      <c r="A70" s="3" t="s">
        <v>23</v>
      </c>
      <c r="B70" s="4" t="s">
        <v>24</v>
      </c>
      <c r="C70" s="63" t="s">
        <v>82</v>
      </c>
      <c r="D70" s="4" t="s">
        <v>247</v>
      </c>
      <c r="E70" s="3" t="s">
        <v>218</v>
      </c>
      <c r="F70" s="57">
        <v>0.17</v>
      </c>
      <c r="G70" s="4" t="s">
        <v>170</v>
      </c>
      <c r="H70" s="4"/>
    </row>
    <row r="71" spans="1:8" ht="25.5" x14ac:dyDescent="0.25">
      <c r="A71" s="9" t="s">
        <v>23</v>
      </c>
      <c r="B71" s="10" t="s">
        <v>24</v>
      </c>
      <c r="C71" s="62" t="s">
        <v>82</v>
      </c>
      <c r="D71" s="10" t="s">
        <v>248</v>
      </c>
      <c r="E71" s="9" t="s">
        <v>218</v>
      </c>
      <c r="F71" s="55">
        <v>0.08</v>
      </c>
      <c r="G71" s="10" t="s">
        <v>172</v>
      </c>
      <c r="H71" s="10"/>
    </row>
    <row r="72" spans="1:8" ht="25.5" x14ac:dyDescent="0.25">
      <c r="A72" s="3" t="s">
        <v>23</v>
      </c>
      <c r="B72" s="4" t="s">
        <v>24</v>
      </c>
      <c r="C72" s="64" t="s">
        <v>87</v>
      </c>
      <c r="D72" s="4" t="s">
        <v>249</v>
      </c>
      <c r="E72" s="3" t="s">
        <v>218</v>
      </c>
      <c r="F72" s="57">
        <v>0.06</v>
      </c>
      <c r="G72" s="4" t="s">
        <v>250</v>
      </c>
      <c r="H72" s="4"/>
    </row>
    <row r="73" spans="1:8" ht="18" customHeight="1" x14ac:dyDescent="0.25">
      <c r="A73" s="110" t="s">
        <v>366</v>
      </c>
      <c r="B73" s="110"/>
      <c r="C73" s="110"/>
      <c r="D73" s="110"/>
      <c r="E73" s="110"/>
      <c r="F73" s="110"/>
      <c r="G73" s="110"/>
      <c r="H73" s="110"/>
    </row>
    <row r="74" spans="1:8" ht="38.25" x14ac:dyDescent="0.25">
      <c r="A74" s="3" t="s">
        <v>26</v>
      </c>
      <c r="B74" s="4" t="s">
        <v>27</v>
      </c>
      <c r="C74" s="56" t="s">
        <v>67</v>
      </c>
      <c r="D74" s="4" t="s">
        <v>252</v>
      </c>
      <c r="E74" s="3" t="s">
        <v>218</v>
      </c>
      <c r="F74" s="57">
        <v>9.5</v>
      </c>
      <c r="G74" s="4" t="s">
        <v>253</v>
      </c>
      <c r="H74" s="4"/>
    </row>
    <row r="75" spans="1:8" ht="25.5" x14ac:dyDescent="0.25">
      <c r="A75" s="9" t="s">
        <v>26</v>
      </c>
      <c r="B75" s="10" t="s">
        <v>27</v>
      </c>
      <c r="C75" s="54" t="s">
        <v>67</v>
      </c>
      <c r="D75" s="67" t="s">
        <v>254</v>
      </c>
      <c r="E75" s="9" t="s">
        <v>218</v>
      </c>
      <c r="F75" s="55">
        <v>9.5</v>
      </c>
      <c r="G75" s="10" t="s">
        <v>255</v>
      </c>
      <c r="H75" s="10"/>
    </row>
    <row r="76" spans="1:8" ht="25.5" x14ac:dyDescent="0.25">
      <c r="A76" s="3" t="s">
        <v>26</v>
      </c>
      <c r="B76" s="4" t="s">
        <v>27</v>
      </c>
      <c r="C76" s="56" t="s">
        <v>67</v>
      </c>
      <c r="D76" s="66" t="s">
        <v>256</v>
      </c>
      <c r="E76" s="3" t="s">
        <v>218</v>
      </c>
      <c r="F76" s="57">
        <v>9.5</v>
      </c>
      <c r="G76" s="4" t="s">
        <v>255</v>
      </c>
      <c r="H76" s="4"/>
    </row>
    <row r="77" spans="1:8" ht="25.5" x14ac:dyDescent="0.25">
      <c r="A77" s="9" t="s">
        <v>26</v>
      </c>
      <c r="B77" s="10" t="s">
        <v>27</v>
      </c>
      <c r="C77" s="54" t="s">
        <v>67</v>
      </c>
      <c r="D77" s="67" t="s">
        <v>257</v>
      </c>
      <c r="E77" s="9" t="s">
        <v>218</v>
      </c>
      <c r="F77" s="55">
        <v>9.5</v>
      </c>
      <c r="G77" s="10" t="s">
        <v>255</v>
      </c>
      <c r="H77" s="10"/>
    </row>
    <row r="78" spans="1:8" ht="38.25" x14ac:dyDescent="0.25">
      <c r="A78" s="3" t="s">
        <v>26</v>
      </c>
      <c r="B78" s="4" t="s">
        <v>27</v>
      </c>
      <c r="C78" s="56" t="s">
        <v>67</v>
      </c>
      <c r="D78" s="4" t="s">
        <v>258</v>
      </c>
      <c r="E78" s="3" t="s">
        <v>218</v>
      </c>
      <c r="F78" s="57">
        <v>3.9</v>
      </c>
      <c r="G78" s="4" t="s">
        <v>259</v>
      </c>
      <c r="H78" s="4"/>
    </row>
    <row r="79" spans="1:8" ht="25.5" x14ac:dyDescent="0.25">
      <c r="A79" s="9" t="s">
        <v>26</v>
      </c>
      <c r="B79" s="10" t="s">
        <v>27</v>
      </c>
      <c r="C79" s="54" t="s">
        <v>67</v>
      </c>
      <c r="D79" s="67" t="s">
        <v>260</v>
      </c>
      <c r="E79" s="9" t="s">
        <v>218</v>
      </c>
      <c r="F79" s="55">
        <v>3.9</v>
      </c>
      <c r="G79" s="10" t="s">
        <v>261</v>
      </c>
      <c r="H79" s="10"/>
    </row>
    <row r="80" spans="1:8" ht="15.75" customHeight="1" x14ac:dyDescent="0.25">
      <c r="A80" s="3" t="s">
        <v>26</v>
      </c>
      <c r="B80" s="4" t="s">
        <v>27</v>
      </c>
      <c r="C80" s="56" t="s">
        <v>67</v>
      </c>
      <c r="D80" s="66" t="s">
        <v>262</v>
      </c>
      <c r="E80" s="3" t="s">
        <v>218</v>
      </c>
      <c r="F80" s="57">
        <v>3.9</v>
      </c>
      <c r="G80" s="4" t="s">
        <v>261</v>
      </c>
      <c r="H80" s="4"/>
    </row>
    <row r="81" spans="1:8" ht="25.5" x14ac:dyDescent="0.25">
      <c r="A81" s="9" t="s">
        <v>26</v>
      </c>
      <c r="B81" s="10" t="s">
        <v>27</v>
      </c>
      <c r="C81" s="54" t="s">
        <v>67</v>
      </c>
      <c r="D81" s="10" t="s">
        <v>263</v>
      </c>
      <c r="E81" s="9" t="s">
        <v>218</v>
      </c>
      <c r="F81" s="55">
        <v>3.9</v>
      </c>
      <c r="G81" s="10" t="s">
        <v>261</v>
      </c>
      <c r="H81" s="10"/>
    </row>
    <row r="82" spans="1:8" ht="25.5" x14ac:dyDescent="0.25">
      <c r="A82" s="3" t="s">
        <v>26</v>
      </c>
      <c r="B82" s="4" t="s">
        <v>27</v>
      </c>
      <c r="C82" s="56" t="s">
        <v>67</v>
      </c>
      <c r="D82" s="4" t="s">
        <v>264</v>
      </c>
      <c r="E82" s="3" t="s">
        <v>218</v>
      </c>
      <c r="F82" s="57">
        <v>0.22</v>
      </c>
      <c r="G82" s="4" t="s">
        <v>265</v>
      </c>
      <c r="H82" s="4"/>
    </row>
    <row r="83" spans="1:8" x14ac:dyDescent="0.25">
      <c r="A83" s="9" t="s">
        <v>26</v>
      </c>
      <c r="B83" s="10" t="s">
        <v>27</v>
      </c>
      <c r="C83" s="54" t="s">
        <v>67</v>
      </c>
      <c r="D83" s="10" t="s">
        <v>266</v>
      </c>
      <c r="E83" s="9" t="s">
        <v>218</v>
      </c>
      <c r="F83" s="55">
        <v>0.09</v>
      </c>
      <c r="G83" s="10" t="s">
        <v>265</v>
      </c>
      <c r="H83" s="10"/>
    </row>
    <row r="84" spans="1:8" ht="25.5" x14ac:dyDescent="0.25">
      <c r="A84" s="3" t="s">
        <v>26</v>
      </c>
      <c r="B84" s="4" t="s">
        <v>27</v>
      </c>
      <c r="C84" s="59" t="s">
        <v>72</v>
      </c>
      <c r="D84" s="4" t="s">
        <v>267</v>
      </c>
      <c r="E84" s="3" t="s">
        <v>218</v>
      </c>
      <c r="F84" s="57">
        <v>1.1499999999999999</v>
      </c>
      <c r="G84" s="4" t="s">
        <v>268</v>
      </c>
      <c r="H84" s="4"/>
    </row>
    <row r="85" spans="1:8" ht="25.5" x14ac:dyDescent="0.25">
      <c r="A85" s="9" t="s">
        <v>26</v>
      </c>
      <c r="B85" s="10" t="s">
        <v>27</v>
      </c>
      <c r="C85" s="58" t="s">
        <v>72</v>
      </c>
      <c r="D85" s="10" t="s">
        <v>269</v>
      </c>
      <c r="E85" s="9" t="s">
        <v>218</v>
      </c>
      <c r="F85" s="55">
        <v>0.32</v>
      </c>
      <c r="G85" s="10" t="s">
        <v>182</v>
      </c>
      <c r="H85" s="10"/>
    </row>
    <row r="86" spans="1:8" ht="15.75" customHeight="1" x14ac:dyDescent="0.25">
      <c r="A86" s="3" t="s">
        <v>26</v>
      </c>
      <c r="B86" s="4" t="s">
        <v>27</v>
      </c>
      <c r="C86" s="61" t="s">
        <v>77</v>
      </c>
      <c r="D86" s="4" t="s">
        <v>367</v>
      </c>
      <c r="E86" s="3" t="s">
        <v>218</v>
      </c>
      <c r="F86" s="57">
        <v>0.75</v>
      </c>
      <c r="G86" s="4" t="s">
        <v>368</v>
      </c>
      <c r="H86" s="4"/>
    </row>
    <row r="87" spans="1:8" ht="25.5" x14ac:dyDescent="0.25">
      <c r="A87" s="9" t="s">
        <v>26</v>
      </c>
      <c r="B87" s="10" t="s">
        <v>27</v>
      </c>
      <c r="C87" s="60" t="s">
        <v>77</v>
      </c>
      <c r="D87" s="10" t="s">
        <v>369</v>
      </c>
      <c r="E87" s="9" t="s">
        <v>218</v>
      </c>
      <c r="F87" s="55">
        <v>0.48</v>
      </c>
      <c r="G87" s="10" t="s">
        <v>370</v>
      </c>
      <c r="H87" s="10"/>
    </row>
    <row r="88" spans="1:8" ht="25.5" x14ac:dyDescent="0.25">
      <c r="A88" s="3" t="s">
        <v>26</v>
      </c>
      <c r="B88" s="4" t="s">
        <v>27</v>
      </c>
      <c r="C88" s="61" t="s">
        <v>77</v>
      </c>
      <c r="D88" s="4" t="s">
        <v>371</v>
      </c>
      <c r="E88" s="3" t="s">
        <v>218</v>
      </c>
      <c r="F88" s="57">
        <v>0.18</v>
      </c>
      <c r="G88" s="4" t="s">
        <v>228</v>
      </c>
      <c r="H88" s="4"/>
    </row>
    <row r="89" spans="1:8" ht="27.95" customHeight="1" x14ac:dyDescent="0.25">
      <c r="A89" s="9" t="s">
        <v>26</v>
      </c>
      <c r="B89" s="10" t="s">
        <v>27</v>
      </c>
      <c r="C89" s="60" t="s">
        <v>77</v>
      </c>
      <c r="D89" s="10" t="s">
        <v>372</v>
      </c>
      <c r="E89" s="9" t="s">
        <v>218</v>
      </c>
      <c r="F89" s="55">
        <v>0.16</v>
      </c>
      <c r="G89" s="10" t="s">
        <v>228</v>
      </c>
      <c r="H89" s="10"/>
    </row>
    <row r="90" spans="1:8" x14ac:dyDescent="0.25">
      <c r="A90" s="3" t="s">
        <v>26</v>
      </c>
      <c r="B90" s="4" t="s">
        <v>27</v>
      </c>
      <c r="C90" s="61" t="s">
        <v>77</v>
      </c>
      <c r="D90" s="4" t="s">
        <v>373</v>
      </c>
      <c r="E90" s="3" t="s">
        <v>218</v>
      </c>
      <c r="F90" s="57">
        <v>7.0000000000000007E-2</v>
      </c>
      <c r="G90" s="4" t="s">
        <v>176</v>
      </c>
      <c r="H90" s="4"/>
    </row>
    <row r="91" spans="1:8" ht="25.5" x14ac:dyDescent="0.25">
      <c r="A91" s="9" t="s">
        <v>26</v>
      </c>
      <c r="B91" s="10" t="s">
        <v>27</v>
      </c>
      <c r="C91" s="62" t="s">
        <v>82</v>
      </c>
      <c r="D91" s="10" t="s">
        <v>374</v>
      </c>
      <c r="E91" s="9" t="s">
        <v>218</v>
      </c>
      <c r="F91" s="55">
        <v>0.28000000000000003</v>
      </c>
      <c r="G91" s="10" t="s">
        <v>170</v>
      </c>
      <c r="H91" s="10"/>
    </row>
    <row r="92" spans="1:8" ht="25.5" x14ac:dyDescent="0.25">
      <c r="A92" s="3" t="s">
        <v>26</v>
      </c>
      <c r="B92" s="4" t="s">
        <v>27</v>
      </c>
      <c r="C92" s="63" t="s">
        <v>82</v>
      </c>
      <c r="D92" s="4" t="s">
        <v>375</v>
      </c>
      <c r="E92" s="3" t="s">
        <v>218</v>
      </c>
      <c r="F92" s="57">
        <v>0.14000000000000001</v>
      </c>
      <c r="G92" s="4" t="s">
        <v>376</v>
      </c>
      <c r="H92" s="4"/>
    </row>
    <row r="93" spans="1:8" ht="25.5" x14ac:dyDescent="0.25">
      <c r="A93" s="9" t="s">
        <v>26</v>
      </c>
      <c r="B93" s="10" t="s">
        <v>27</v>
      </c>
      <c r="C93" s="62" t="s">
        <v>82</v>
      </c>
      <c r="D93" s="10" t="s">
        <v>377</v>
      </c>
      <c r="E93" s="9" t="s">
        <v>218</v>
      </c>
      <c r="F93" s="55">
        <v>0.22</v>
      </c>
      <c r="G93" s="10" t="s">
        <v>213</v>
      </c>
      <c r="H93" s="10"/>
    </row>
    <row r="94" spans="1:8" ht="25.5" x14ac:dyDescent="0.25">
      <c r="A94" s="3" t="s">
        <v>26</v>
      </c>
      <c r="B94" s="4" t="s">
        <v>27</v>
      </c>
      <c r="C94" s="64" t="s">
        <v>87</v>
      </c>
      <c r="D94" s="4" t="s">
        <v>378</v>
      </c>
      <c r="E94" s="3" t="s">
        <v>218</v>
      </c>
      <c r="F94" s="57">
        <v>0.11</v>
      </c>
      <c r="G94" s="4" t="s">
        <v>174</v>
      </c>
      <c r="H94" s="4"/>
    </row>
    <row r="95" spans="1:8" ht="25.5" x14ac:dyDescent="0.25">
      <c r="A95" s="9" t="s">
        <v>26</v>
      </c>
      <c r="B95" s="10" t="s">
        <v>27</v>
      </c>
      <c r="C95" s="65" t="s">
        <v>87</v>
      </c>
      <c r="D95" s="10" t="s">
        <v>379</v>
      </c>
      <c r="E95" s="9" t="s">
        <v>218</v>
      </c>
      <c r="F95" s="55">
        <v>0.06</v>
      </c>
      <c r="G95" s="10" t="s">
        <v>380</v>
      </c>
      <c r="H95" s="10"/>
    </row>
  </sheetData>
  <mergeCells count="8">
    <mergeCell ref="A49:H49"/>
    <mergeCell ref="A61:H61"/>
    <mergeCell ref="A73:H73"/>
    <mergeCell ref="A1:H1"/>
    <mergeCell ref="A2:H2"/>
    <mergeCell ref="A5:H5"/>
    <mergeCell ref="A22:H22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980B9"/>
  </sheetPr>
  <dimension ref="A1:F34"/>
  <sheetViews>
    <sheetView showGridLines="0" zoomScaleNormal="100" workbookViewId="0"/>
  </sheetViews>
  <sheetFormatPr defaultColWidth="8.5703125" defaultRowHeight="15" x14ac:dyDescent="0.25"/>
  <cols>
    <col min="1" max="1" width="12" customWidth="1"/>
    <col min="2" max="6" width="20" customWidth="1"/>
  </cols>
  <sheetData>
    <row r="1" spans="1:6" ht="30" customHeight="1" x14ac:dyDescent="0.25">
      <c r="A1" s="78" t="s">
        <v>381</v>
      </c>
      <c r="B1" s="78"/>
      <c r="C1" s="78"/>
      <c r="D1" s="78"/>
      <c r="E1" s="78"/>
      <c r="F1" s="78"/>
    </row>
    <row r="3" spans="1:6" ht="19.5" customHeight="1" x14ac:dyDescent="0.25">
      <c r="A3" s="116" t="s">
        <v>382</v>
      </c>
      <c r="B3" s="116"/>
      <c r="C3" s="116"/>
      <c r="D3" s="116"/>
      <c r="E3" s="116"/>
      <c r="F3" s="116"/>
    </row>
    <row r="4" spans="1:6" ht="18" customHeight="1" x14ac:dyDescent="0.25">
      <c r="A4" s="114" t="s">
        <v>383</v>
      </c>
      <c r="B4" s="114"/>
      <c r="C4" s="114"/>
      <c r="D4" s="114"/>
      <c r="E4" s="114"/>
      <c r="F4" s="114"/>
    </row>
    <row r="5" spans="1:6" ht="18" customHeight="1" x14ac:dyDescent="0.25">
      <c r="A5" s="115" t="s">
        <v>384</v>
      </c>
      <c r="B5" s="115"/>
      <c r="C5" s="115"/>
      <c r="D5" s="115"/>
      <c r="E5" s="115"/>
      <c r="F5" s="115"/>
    </row>
    <row r="6" spans="1:6" ht="18" customHeight="1" x14ac:dyDescent="0.25">
      <c r="A6" s="114" t="s">
        <v>385</v>
      </c>
      <c r="B6" s="114"/>
      <c r="C6" s="114"/>
      <c r="D6" s="114"/>
      <c r="E6" s="114"/>
      <c r="F6" s="114"/>
    </row>
    <row r="7" spans="1:6" ht="18" customHeight="1" x14ac:dyDescent="0.25">
      <c r="A7" s="115" t="s">
        <v>386</v>
      </c>
      <c r="B7" s="115"/>
      <c r="C7" s="115"/>
      <c r="D7" s="115"/>
      <c r="E7" s="115"/>
      <c r="F7" s="115"/>
    </row>
    <row r="9" spans="1:6" ht="19.5" customHeight="1" x14ac:dyDescent="0.25">
      <c r="A9" s="116" t="s">
        <v>387</v>
      </c>
      <c r="B9" s="116"/>
      <c r="C9" s="116"/>
      <c r="D9" s="116"/>
      <c r="E9" s="116"/>
      <c r="F9" s="116"/>
    </row>
    <row r="10" spans="1:6" ht="18" customHeight="1" x14ac:dyDescent="0.25">
      <c r="A10" s="114" t="s">
        <v>388</v>
      </c>
      <c r="B10" s="114"/>
      <c r="C10" s="114"/>
      <c r="D10" s="114"/>
      <c r="E10" s="114"/>
      <c r="F10" s="114"/>
    </row>
    <row r="11" spans="1:6" ht="18" customHeight="1" x14ac:dyDescent="0.25">
      <c r="A11" s="115" t="s">
        <v>389</v>
      </c>
      <c r="B11" s="115"/>
      <c r="C11" s="115"/>
      <c r="D11" s="115"/>
      <c r="E11" s="115"/>
      <c r="F11" s="115"/>
    </row>
    <row r="12" spans="1:6" ht="18" customHeight="1" x14ac:dyDescent="0.25">
      <c r="A12" s="114" t="s">
        <v>390</v>
      </c>
      <c r="B12" s="114"/>
      <c r="C12" s="114"/>
      <c r="D12" s="114"/>
      <c r="E12" s="114"/>
      <c r="F12" s="114"/>
    </row>
    <row r="14" spans="1:6" ht="19.5" customHeight="1" x14ac:dyDescent="0.25">
      <c r="A14" s="116" t="s">
        <v>391</v>
      </c>
      <c r="B14" s="116"/>
      <c r="C14" s="116"/>
      <c r="D14" s="116"/>
      <c r="E14" s="116"/>
      <c r="F14" s="116"/>
    </row>
    <row r="15" spans="1:6" ht="18" customHeight="1" x14ac:dyDescent="0.25">
      <c r="A15" s="115" t="s">
        <v>392</v>
      </c>
      <c r="B15" s="115"/>
      <c r="C15" s="115"/>
      <c r="D15" s="115"/>
      <c r="E15" s="115"/>
      <c r="F15" s="115"/>
    </row>
    <row r="16" spans="1:6" ht="18" customHeight="1" x14ac:dyDescent="0.25">
      <c r="A16" s="114" t="s">
        <v>393</v>
      </c>
      <c r="B16" s="114"/>
      <c r="C16" s="114"/>
      <c r="D16" s="114"/>
      <c r="E16" s="114"/>
      <c r="F16" s="114"/>
    </row>
    <row r="17" spans="1:6" ht="18" customHeight="1" x14ac:dyDescent="0.25">
      <c r="A17" s="115" t="s">
        <v>394</v>
      </c>
      <c r="B17" s="115"/>
      <c r="C17" s="115"/>
      <c r="D17" s="115"/>
      <c r="E17" s="115"/>
      <c r="F17" s="115"/>
    </row>
    <row r="18" spans="1:6" ht="18" customHeight="1" x14ac:dyDescent="0.25">
      <c r="A18" s="114" t="s">
        <v>395</v>
      </c>
      <c r="B18" s="114"/>
      <c r="C18" s="114"/>
      <c r="D18" s="114"/>
      <c r="E18" s="114"/>
      <c r="F18" s="114"/>
    </row>
    <row r="19" spans="1:6" ht="18" customHeight="1" x14ac:dyDescent="0.25">
      <c r="A19" s="115" t="s">
        <v>396</v>
      </c>
      <c r="B19" s="115"/>
      <c r="C19" s="115"/>
      <c r="D19" s="115"/>
      <c r="E19" s="115"/>
      <c r="F19" s="115"/>
    </row>
    <row r="21" spans="1:6" ht="19.5" customHeight="1" x14ac:dyDescent="0.25">
      <c r="A21" s="116" t="s">
        <v>397</v>
      </c>
      <c r="B21" s="116"/>
      <c r="C21" s="116"/>
      <c r="D21" s="116"/>
      <c r="E21" s="116"/>
      <c r="F21" s="116"/>
    </row>
    <row r="22" spans="1:6" ht="18" customHeight="1" x14ac:dyDescent="0.25">
      <c r="A22" s="114" t="s">
        <v>398</v>
      </c>
      <c r="B22" s="114"/>
      <c r="C22" s="114"/>
      <c r="D22" s="114"/>
      <c r="E22" s="114"/>
      <c r="F22" s="114"/>
    </row>
    <row r="23" spans="1:6" ht="18" customHeight="1" x14ac:dyDescent="0.25">
      <c r="A23" s="115" t="s">
        <v>399</v>
      </c>
      <c r="B23" s="115"/>
      <c r="C23" s="115"/>
      <c r="D23" s="115"/>
      <c r="E23" s="115"/>
      <c r="F23" s="115"/>
    </row>
    <row r="24" spans="1:6" ht="18" customHeight="1" x14ac:dyDescent="0.25">
      <c r="A24" s="114" t="s">
        <v>400</v>
      </c>
      <c r="B24" s="114"/>
      <c r="C24" s="114"/>
      <c r="D24" s="114"/>
      <c r="E24" s="114"/>
      <c r="F24" s="114"/>
    </row>
    <row r="26" spans="1:6" ht="19.5" customHeight="1" x14ac:dyDescent="0.25">
      <c r="A26" s="116" t="s">
        <v>401</v>
      </c>
      <c r="B26" s="116"/>
      <c r="C26" s="116"/>
      <c r="D26" s="116"/>
      <c r="E26" s="116"/>
      <c r="F26" s="116"/>
    </row>
    <row r="27" spans="1:6" ht="18" customHeight="1" x14ac:dyDescent="0.25">
      <c r="A27" s="115" t="s">
        <v>402</v>
      </c>
      <c r="B27" s="115"/>
      <c r="C27" s="115"/>
      <c r="D27" s="115"/>
      <c r="E27" s="115"/>
      <c r="F27" s="115"/>
    </row>
    <row r="28" spans="1:6" ht="18" customHeight="1" x14ac:dyDescent="0.25">
      <c r="A28" s="114" t="s">
        <v>403</v>
      </c>
      <c r="B28" s="114"/>
      <c r="C28" s="114"/>
      <c r="D28" s="114"/>
      <c r="E28" s="114"/>
      <c r="F28" s="114"/>
    </row>
    <row r="29" spans="1:6" ht="18" customHeight="1" x14ac:dyDescent="0.25">
      <c r="A29" s="115" t="s">
        <v>404</v>
      </c>
      <c r="B29" s="115"/>
      <c r="C29" s="115"/>
      <c r="D29" s="115"/>
      <c r="E29" s="115"/>
      <c r="F29" s="115"/>
    </row>
    <row r="31" spans="1:6" ht="19.5" customHeight="1" x14ac:dyDescent="0.25">
      <c r="A31" s="116" t="s">
        <v>405</v>
      </c>
      <c r="B31" s="116"/>
      <c r="C31" s="116"/>
      <c r="D31" s="116"/>
      <c r="E31" s="116"/>
      <c r="F31" s="116"/>
    </row>
    <row r="32" spans="1:6" ht="18" customHeight="1" x14ac:dyDescent="0.25">
      <c r="A32" s="114" t="s">
        <v>406</v>
      </c>
      <c r="B32" s="114"/>
      <c r="C32" s="114"/>
      <c r="D32" s="114"/>
      <c r="E32" s="114"/>
      <c r="F32" s="114"/>
    </row>
    <row r="33" spans="1:6" ht="18" customHeight="1" x14ac:dyDescent="0.25">
      <c r="A33" s="115" t="s">
        <v>407</v>
      </c>
      <c r="B33" s="115"/>
      <c r="C33" s="115"/>
      <c r="D33" s="115"/>
      <c r="E33" s="115"/>
      <c r="F33" s="115"/>
    </row>
    <row r="34" spans="1:6" ht="18" customHeight="1" x14ac:dyDescent="0.25">
      <c r="A34" s="114" t="s">
        <v>408</v>
      </c>
      <c r="B34" s="114"/>
      <c r="C34" s="114"/>
      <c r="D34" s="114"/>
      <c r="E34" s="114"/>
      <c r="F34" s="114"/>
    </row>
  </sheetData>
  <mergeCells count="28">
    <mergeCell ref="A1:F1"/>
    <mergeCell ref="A3:F3"/>
    <mergeCell ref="A4:F4"/>
    <mergeCell ref="A5:F5"/>
    <mergeCell ref="A6:F6"/>
    <mergeCell ref="A7:F7"/>
    <mergeCell ref="A9:F9"/>
    <mergeCell ref="A10:F10"/>
    <mergeCell ref="A11:F11"/>
    <mergeCell ref="A12:F12"/>
    <mergeCell ref="A14:F14"/>
    <mergeCell ref="A15:F15"/>
    <mergeCell ref="A16:F16"/>
    <mergeCell ref="A17:F17"/>
    <mergeCell ref="A18:F18"/>
    <mergeCell ref="A19:F19"/>
    <mergeCell ref="A21:F21"/>
    <mergeCell ref="A22:F22"/>
    <mergeCell ref="A23:F23"/>
    <mergeCell ref="A24:F24"/>
    <mergeCell ref="A32:F32"/>
    <mergeCell ref="A33:F33"/>
    <mergeCell ref="A34:F34"/>
    <mergeCell ref="A26:F26"/>
    <mergeCell ref="A27:F27"/>
    <mergeCell ref="A28:F28"/>
    <mergeCell ref="A29:F29"/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⚙ Assumptions</vt:lpstr>
      <vt:lpstr>🗂 Interventions</vt:lpstr>
      <vt:lpstr>📂 Cost Categories</vt:lpstr>
      <vt:lpstr>📊 Summary</vt:lpstr>
      <vt:lpstr>📝 Unit Costs</vt:lpstr>
      <vt:lpstr>🏠 Dashboard</vt:lpstr>
      <vt:lpstr>📉 Cost-per-Person</vt:lpstr>
      <vt:lpstr>✅ Data Quality</vt:lpstr>
      <vt:lpstr>🔍 Cost Breakdown</vt:lpstr>
      <vt:lpstr>📋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Hayley Thompson</cp:lastModifiedBy>
  <cp:revision>0</cp:revision>
  <dcterms:created xsi:type="dcterms:W3CDTF">2026-05-28T17:43:48Z</dcterms:created>
  <dcterms:modified xsi:type="dcterms:W3CDTF">2026-06-19T01:20:03Z</dcterms:modified>
  <dc:language>en-US</dc:language>
</cp:coreProperties>
</file>